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e94cab35b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d1b994a8ee4d73"/>
    <x:sheet xmlns:r="http://schemas.openxmlformats.org/officeDocument/2006/relationships" name="PO 20181887" sheetId="2" r:id="Rdb3a05b5666c49ad"/>
    <x:sheet xmlns:r="http://schemas.openxmlformats.org/officeDocument/2006/relationships" name="PO 20181888" sheetId="3" r:id="Rcb62b1a7b7904165"/>
    <x:sheet xmlns:r="http://schemas.openxmlformats.org/officeDocument/2006/relationships" name="PO 20181889" sheetId="4" r:id="R6d24e2c4d9c94fd3"/>
    <x:sheet xmlns:r="http://schemas.openxmlformats.org/officeDocument/2006/relationships" name="PO 20181890" sheetId="5" r:id="R7482a21aa52b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9">
    <x:font>
      <x:sz val="11"/>
      <x:name val="Carlito"/>
    </x:font>
    <x:font>
      <x:b/>
      <x:sz val="15"/>
      <x:color rgb="FF18324F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0"/>
      <x:color rgb="FF18324F"/>
      <x:name val="Arial"/>
    </x:font>
    <x:font>
      <x:sz val="10"/>
      <x:color rgb="FF43566B"/>
      <x:name val="Arial"/>
    </x:font>
    <x:font>
      <x:b/>
      <x:sz val="11"/>
      <x:color rgb="FF18324F"/>
      <x:name val="Arial"/>
    </x:font>
    <x:font>
      <x:b/>
      <x:sz val="10"/>
      <x:color rgb="FF24344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F"/>
      </x:patternFill>
    </x:fill>
    <x:fill>
      <x:patternFill patternType="solid">
        <x:fgColor rgb="FFE8F0F8"/>
      </x:patternFill>
    </x:fill>
    <x:fill>
      <x:patternFill patternType="solid">
        <x:fgColor rgb="FFDCF2E2"/>
      </x:patternFill>
    </x:fill>
    <x:fill>
      <x:patternFill patternType="solid">
        <x:fgColor rgb="FFFBE5E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5B8CA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200" fontId="4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/>
    <x:xf numFmtId="200" fontId="5" fillId="4" borderId="0" xfId="0" applyNumberFormat="1" applyFont="1" applyFill="1" applyBorder="1"/>
    <x:xf numFmtId="200" fontId="5" fillId="5" borderId="0" xfId="0" applyNumberFormat="1" applyFont="1" applyFill="1" applyBorder="1"/>
    <x:xf numFmtId="0" fontId="4" fillId="2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20">
    <x:dxf>
      <x:font>
        <x:b/>
        <x:color rgb="FF17613A"/>
      </x:font>
      <x:fill>
        <x:patternFill patternType="solid">
          <x:bgColor rgb="FFDCF2E2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b/>
        <x:color rgb="FF855A00"/>
      </x:font>
      <x:fill>
        <x:patternFill patternType="solid">
          <x:bgColor rgb="FFFFF2CF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color rgb="FF855A00"/>
      </x:font>
      <x:fill>
        <x:patternFill patternType="solid">
          <x:bgColor rgb="FFFFF2CF"/>
        </x:patternFill>
      </x:fill>
    </x:dxf>
    <x:dxf>
      <x:font>
        <x:b/>
        <x:color rgb="FF17613A"/>
      </x:font>
      <x:fill>
        <x:patternFill patternType="solid">
          <x:bgColor rgb="FFDCF2E2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b/>
        <x:color rgb="FF855A00"/>
      </x:font>
      <x:fill>
        <x:patternFill patternType="solid">
          <x:bgColor rgb="FFFFF2CF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color rgb="FF855A00"/>
      </x:font>
      <x:fill>
        <x:patternFill patternType="solid">
          <x:bgColor rgb="FFFFF2CF"/>
        </x:patternFill>
      </x:fill>
    </x:dxf>
    <x:dxf>
      <x:font>
        <x:b/>
        <x:color rgb="FF17613A"/>
      </x:font>
      <x:fill>
        <x:patternFill patternType="solid">
          <x:bgColor rgb="FFDCF2E2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b/>
        <x:color rgb="FF855A00"/>
      </x:font>
      <x:fill>
        <x:patternFill patternType="solid">
          <x:bgColor rgb="FFFFF2CF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color rgb="FF855A00"/>
      </x:font>
      <x:fill>
        <x:patternFill patternType="solid">
          <x:bgColor rgb="FFFFF2CF"/>
        </x:patternFill>
      </x:fill>
    </x:dxf>
    <x:dxf>
      <x:font>
        <x:b/>
        <x:color rgb="FF17613A"/>
      </x:font>
      <x:fill>
        <x:patternFill patternType="solid">
          <x:bgColor rgb="FFDCF2E2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b/>
        <x:color rgb="FF855A00"/>
      </x:font>
      <x:fill>
        <x:patternFill patternType="solid">
          <x:bgColor rgb="FFFFF2CF"/>
        </x:patternFill>
      </x:fill>
    </x:dxf>
    <x:dxf>
      <x:font>
        <x:b/>
        <x:color rgb="FF9C2525"/>
      </x:font>
      <x:fill>
        <x:patternFill patternType="solid">
          <x:bgColor rgb="FFFBE5E5"/>
        </x:patternFill>
      </x:fill>
    </x:dxf>
    <x:dxf>
      <x:font>
        <x:color rgb="FF855A00"/>
      </x:font>
      <x:fill>
        <x:patternFill patternType="solid">
          <x:bgColor rgb="FFFFF2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161d906a64334" /><Relationship Type="http://schemas.openxmlformats.org/officeDocument/2006/relationships/theme" Target="/xl/theme/theme1.xml" Id="R8d67771e088a41fd" /><Relationship Type="http://schemas.openxmlformats.org/officeDocument/2006/relationships/sharedStrings" Target="/xl/sharedStrings.xml" Id="R73a39369c1a2416b" /><Relationship Type="http://schemas.openxmlformats.org/officeDocument/2006/relationships/worksheet" Target="/xl/worksheets/sheet1.xml" Id="R9ad1b994a8ee4d73" /><Relationship Type="http://schemas.openxmlformats.org/officeDocument/2006/relationships/worksheet" Target="/xl/worksheets/sheet2.xml" Id="Rdb3a05b5666c49ad" /><Relationship Type="http://schemas.openxmlformats.org/officeDocument/2006/relationships/worksheet" Target="/xl/worksheets/sheet3.xml" Id="Rcb62b1a7b7904165" /><Relationship Type="http://schemas.openxmlformats.org/officeDocument/2006/relationships/worksheet" Target="/xl/worksheets/sheet4.xml" Id="R6d24e2c4d9c94fd3" /><Relationship Type="http://schemas.openxmlformats.org/officeDocument/2006/relationships/worksheet" Target="/xl/worksheets/sheet5.xml" Id="R7482a21aa52b44ad" /></Relationships>
</file>

<file path=xl/tables/table1.xml><?xml version="1.0" encoding="utf-8"?>
<x:table xmlns:x="http://schemas.openxmlformats.org/spreadsheetml/2006/main" id="1" name="PO20181887Review" displayName="PO20181887Review" ref="A6:O163" headerRowCount="1" totalsRowCount="0" totalsRowShown="0">
  <x:autoFilter ref="A6:O163"/>
  <x:tableColumns count="15">
    <x:tableColumn id="1" name="Line"/>
    <x:tableColumn id="2" name="SKU"/>
    <x:tableColumn id="3" name="Lens"/>
    <x:tableColumn id="4" name="GO / NO-GO"/>
    <x:tableColumn id="5" name="Action"/>
    <x:tableColumn id="6" name="Draft qty"/>
    <x:tableColumn id="7" name="Suggested qty"/>
    <x:tableColumn id="8" name="On hand"/>
    <x:tableColumn id="9" name="Rx sold 12m"/>
    <x:tableColumn id="10" name="Stock sold 12m"/>
    <x:tableColumn id="11" name="Breakages 12m"/>
    <x:tableColumn id="12" name="Demand 90d"/>
    <x:tableColumn id="13" name="Other open qty"/>
    <x:tableColumn id="14" name="Need"/>
    <x:tableColumn id="15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20181888Review" displayName="PO20181888Review" ref="A6:O67" headerRowCount="1" totalsRowCount="0" totalsRowShown="0">
  <x:autoFilter ref="A6:O67"/>
  <x:tableColumns count="15">
    <x:tableColumn id="1" name="Line"/>
    <x:tableColumn id="2" name="SKU"/>
    <x:tableColumn id="3" name="Lens"/>
    <x:tableColumn id="4" name="GO / NO-GO"/>
    <x:tableColumn id="5" name="Action"/>
    <x:tableColumn id="6" name="Draft qty"/>
    <x:tableColumn id="7" name="Suggested qty"/>
    <x:tableColumn id="8" name="On hand"/>
    <x:tableColumn id="9" name="Rx sold 12m"/>
    <x:tableColumn id="10" name="Stock sold 12m"/>
    <x:tableColumn id="11" name="Breakages 12m"/>
    <x:tableColumn id="12" name="Demand 90d"/>
    <x:tableColumn id="13" name="Other open qty"/>
    <x:tableColumn id="14" name="Need"/>
    <x:tableColumn id="15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20181889Review" displayName="PO20181889Review" ref="A6:O33" headerRowCount="1" totalsRowCount="0" totalsRowShown="0">
  <x:autoFilter ref="A6:O33"/>
  <x:tableColumns count="15">
    <x:tableColumn id="1" name="Line"/>
    <x:tableColumn id="2" name="SKU"/>
    <x:tableColumn id="3" name="Lens"/>
    <x:tableColumn id="4" name="GO / NO-GO"/>
    <x:tableColumn id="5" name="Action"/>
    <x:tableColumn id="6" name="Draft qty"/>
    <x:tableColumn id="7" name="Suggested qty"/>
    <x:tableColumn id="8" name="On hand"/>
    <x:tableColumn id="9" name="Rx sold 12m"/>
    <x:tableColumn id="10" name="Stock sold 12m"/>
    <x:tableColumn id="11" name="Breakages 12m"/>
    <x:tableColumn id="12" name="Demand 90d"/>
    <x:tableColumn id="13" name="Other open qty"/>
    <x:tableColumn id="14" name="Need"/>
    <x:tableColumn id="15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20181890Review" displayName="PO20181890Review" ref="A6:O47" headerRowCount="1" totalsRowCount="0" totalsRowShown="0">
  <x:autoFilter ref="A6:O47"/>
  <x:tableColumns count="15">
    <x:tableColumn id="1" name="Line"/>
    <x:tableColumn id="2" name="SKU"/>
    <x:tableColumn id="3" name="Lens"/>
    <x:tableColumn id="4" name="GO / NO-GO"/>
    <x:tableColumn id="5" name="Action"/>
    <x:tableColumn id="6" name="Draft qty"/>
    <x:tableColumn id="7" name="Suggested qty"/>
    <x:tableColumn id="8" name="On hand"/>
    <x:tableColumn id="9" name="Rx sold 12m"/>
    <x:tableColumn id="10" name="Stock sold 12m"/>
    <x:tableColumn id="11" name="Breakages 12m"/>
    <x:tableColumn id="12" name="Demand 90d"/>
    <x:tableColumn id="13" name="Other open qty"/>
    <x:tableColumn id="14" name="Need"/>
    <x:tableColumn id="15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1eb5704365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2c6799fd564a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04895d8c3643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f69d277cd141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2">
      <x:c r="A2" s="17" t="str">
        <x:v>Open lens purchase orders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2" t="str">
        <x:v>Line review snapshot: 9 October 2026</x:v>
      </x:c>
    </x:row>
    <x:row r="5" ht="25" customHeight="1">
      <x:c r="A5" s="6" t="str">
        <x:v>PO</x:v>
      </x:c>
      <x:c r="B5" s="6" t="str">
        <x:v>Vendor</x:v>
      </x:c>
      <x:c r="C5" s="6" t="str">
        <x:v>Lines</x:v>
      </x:c>
      <x:c r="D5" s="6" t="str">
        <x:v>GO</x:v>
      </x:c>
      <x:c r="E5" s="6" t="str">
        <x:v>NO-GO</x:v>
      </x:c>
      <x:c r="F5" s="6" t="str">
        <x:v>Keep draft</x:v>
      </x:c>
      <x:c r="G5" s="6" t="str">
        <x:v>Reduce</x:v>
      </x:c>
      <x:c r="H5" s="6" t="str">
        <x:v>Remove</x:v>
      </x:c>
      <x:c r="I5" s="6" t="str">
        <x:v>Suggested lenses</x:v>
      </x:c>
    </x:row>
    <x:row r="6" ht="22" customHeight="1">
      <x:c r="A6" s="8" t="str">
        <x:v>20181887</x:v>
      </x:c>
      <x:c r="B6" s="8" t="str">
        <x:v>Essilor KBCo</x:v>
      </x:c>
      <x:c r="C6" s="19" t="n">
        <x:v>157</x:v>
      </x:c>
      <x:c r="D6" s="20" t="n">
        <x:v>101</x:v>
      </x:c>
      <x:c r="E6" s="21" t="n">
        <x:v>56</x:v>
      </x:c>
      <x:c r="F6" s="19" t="n">
        <x:v>101</x:v>
      </x:c>
      <x:c r="G6" s="19" t="n">
        <x:v>31</x:v>
      </x:c>
      <x:c r="H6" s="19" t="n">
        <x:v>25</x:v>
      </x:c>
      <x:c r="I6" s="19" t="n">
        <x:v>624</x:v>
      </x:c>
    </x:row>
    <x:row r="7" ht="22" customHeight="1">
      <x:c r="A7" s="8" t="str">
        <x:v>20181888</x:v>
      </x:c>
      <x:c r="B7" s="8" t="str">
        <x:v>Younger</x:v>
      </x:c>
      <x:c r="C7" s="19" t="n">
        <x:v>61</x:v>
      </x:c>
      <x:c r="D7" s="20" t="n">
        <x:v>31</x:v>
      </x:c>
      <x:c r="E7" s="21" t="n">
        <x:v>30</x:v>
      </x:c>
      <x:c r="F7" s="19" t="n">
        <x:v>31</x:v>
      </x:c>
      <x:c r="G7" s="19" t="n">
        <x:v>10</x:v>
      </x:c>
      <x:c r="H7" s="19" t="n">
        <x:v>20</x:v>
      </x:c>
      <x:c r="I7" s="19" t="n">
        <x:v>93</x:v>
      </x:c>
    </x:row>
    <x:row r="8" ht="22" customHeight="1">
      <x:c r="A8" s="8" t="str">
        <x:v>20181889</x:v>
      </x:c>
      <x:c r="B8" s="8" t="str">
        <x:v>Essilor Shore</x:v>
      </x:c>
      <x:c r="C8" s="19" t="n">
        <x:v>27</x:v>
      </x:c>
      <x:c r="D8" s="20" t="n">
        <x:v>21</x:v>
      </x:c>
      <x:c r="E8" s="21" t="n">
        <x:v>6</x:v>
      </x:c>
      <x:c r="F8" s="19" t="n">
        <x:v>21</x:v>
      </x:c>
      <x:c r="G8" s="19" t="n">
        <x:v>1</x:v>
      </x:c>
      <x:c r="H8" s="19" t="n">
        <x:v>5</x:v>
      </x:c>
      <x:c r="I8" s="19" t="n">
        <x:v>152</x:v>
      </x:c>
    </x:row>
    <x:row r="9" ht="22" customHeight="1">
      <x:c r="A9" s="8" t="str">
        <x:v>20181890</x:v>
      </x:c>
      <x:c r="B9" s="8" t="str">
        <x:v>Vision Ease</x:v>
      </x:c>
      <x:c r="C9" s="19" t="n">
        <x:v>41</x:v>
      </x:c>
      <x:c r="D9" s="20" t="n">
        <x:v>18</x:v>
      </x:c>
      <x:c r="E9" s="21" t="n">
        <x:v>23</x:v>
      </x:c>
      <x:c r="F9" s="19" t="n">
        <x:v>18</x:v>
      </x:c>
      <x:c r="G9" s="19" t="n">
        <x:v>14</x:v>
      </x:c>
      <x:c r="H9" s="19" t="n">
        <x:v>9</x:v>
      </x:c>
      <x:c r="I9" s="19" t="n">
        <x:v>196</x:v>
      </x:c>
    </x:row>
    <x:row r="10" ht="24" customHeight="1">
      <x:c r="A10" s="10" t="str">
        <x:v>Total</x:v>
      </x:c>
      <x:c r="B10" s="10" t="str"/>
      <x:c r="C10" s="22" t="n">
        <x:v>286</x:v>
      </x:c>
      <x:c r="D10" s="23" t="n">
        <x:v>171</x:v>
      </x:c>
      <x:c r="E10" s="24" t="n">
        <x:v>115</x:v>
      </x:c>
      <x:c r="F10" s="22" t="n">
        <x:v>171</x:v>
      </x:c>
      <x:c r="G10" s="22" t="n">
        <x:v>56</x:v>
      </x:c>
      <x:c r="H10" s="22" t="n">
        <x:v>59</x:v>
      </x:c>
      <x:c r="I10" s="22" t="n">
        <x:v>1065</x:v>
      </x:c>
    </x:row>
    <x:row r="12">
      <x:c r="A12" s="15" t="str">
        <x:v>GO means keep the drafted quantity. NO-GO means reduce or remove that line.</x:v>
      </x:c>
    </x:row>
    <x:row r="13">
      <x:c r="A13" s="15" t="str">
        <x:v>Suggested quantities reproduce the 9 October review; they are not a new stock check.</x:v>
      </x:c>
    </x:row>
    <x:row r="14">
      <x:c r="A14" s="15" t="str">
        <x:v>Other open PO quantities need confirmation before release.</x:v>
      </x:c>
    </x:row>
    <x:row r="16">
      <x:c r="A16" s="16" t="str">
        <x:v>Decision basis</x:v>
      </x:c>
    </x:row>
    <x:row r="17">
      <x:c r="A17" s="15" t="str">
        <x:v>Fulfilled stock-order sales, Rx-order sales, breakages, physical stock and recent demand.</x:v>
      </x:c>
    </x:row>
    <x:row r="18">
      <x:c r="A18" s="15" t="str">
        <x:v>The source review uses an approximately two-month stock target and a one-lens buffer.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9" hidden="0" customWidth="1"/>
    <x:col min="4" max="4" width="17" hidden="0" customWidth="1"/>
    <x:col min="5" max="5" width="15" hidden="0" customWidth="1"/>
    <x:col min="6" max="6" width="12" hidden="0" customWidth="1"/>
    <x:col min="7" max="7" width="14" hidden="0" customWidth="1"/>
    <x:col min="8" max="8" width="11" hidden="0" customWidth="1"/>
    <x:col min="9" max="9" width="14" hidden="0" customWidth="1"/>
    <x:col min="10" max="10" width="16" hidden="0" customWidth="1"/>
    <x:col min="11" max="11" width="15" hidden="0" customWidth="1"/>
    <x:col min="12" max="12" width="15" hidden="0" customWidth="1"/>
    <x:col min="13" max="13" width="17" hidden="0" customWidth="1"/>
    <x:col min="14" max="14" width="16" hidden="0" customWidth="1"/>
    <x:col min="15" max="15" width="46" hidden="0" customWidth="1"/>
  </x:cols>
  <x:sheetData>
    <x:row r="2">
      <x:c r="A2" s="17" t="str">
        <x:v>PO 20181887 lens review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2" t="str">
        <x:v>9 October 2026 snapshot. Filter GO / NO-GO or Action to review line decisions.</x:v>
      </x:c>
    </x:row>
    <x:row r="4" ht="22" customHeight="1">
      <x:c r="A4" s="10" t="str">
        <x:v>Lines</x:v>
      </x:c>
      <x:c r="B4" s="10" t="n">
        <x:v>157</x:v>
      </x:c>
      <x:c r="C4" s="10" t="str">
        <x:v>GO</x:v>
      </x:c>
      <x:c r="D4" s="12" t="n">
        <x:v>101</x:v>
      </x:c>
      <x:c r="E4" s="10" t="str">
        <x:v>NO-GO</x:v>
      </x:c>
      <x:c r="F4" s="14" t="n">
        <x:v>56</x:v>
      </x:c>
    </x:row>
    <x:row r="6" ht="28" customHeight="1">
      <x:c r="A6" s="6" t="str">
        <x:v>Line</x:v>
      </x:c>
      <x:c r="B6" s="6" t="str">
        <x:v>SKU</x:v>
      </x:c>
      <x:c r="C6" s="6" t="str">
        <x:v>Lens</x:v>
      </x:c>
      <x:c r="D6" s="6" t="str">
        <x:v>GO / NO-GO</x:v>
      </x:c>
      <x:c r="E6" s="6" t="str">
        <x:v>Action</x:v>
      </x:c>
      <x:c r="F6" s="6" t="str">
        <x:v>Draft qty</x:v>
      </x:c>
      <x:c r="G6" s="6" t="str">
        <x:v>Suggested qty</x:v>
      </x:c>
      <x:c r="H6" s="6" t="str">
        <x:v>On hand</x:v>
      </x:c>
      <x:c r="I6" s="6" t="str">
        <x:v>Rx sold 12m</x:v>
      </x:c>
      <x:c r="J6" s="6" t="str">
        <x:v>Stock sold 12m</x:v>
      </x:c>
      <x:c r="K6" s="6" t="str">
        <x:v>Breakages 12m</x:v>
      </x:c>
      <x:c r="L6" s="6" t="str">
        <x:v>Demand 90d</x:v>
      </x:c>
      <x:c r="M6" s="6" t="str">
        <x:v>Other open qty</x:v>
      </x:c>
      <x:c r="N6" s="6" t="str">
        <x:v>Need</x:v>
      </x:c>
      <x:c r="O6" s="6" t="str">
        <x:v>Reason</x:v>
      </x:c>
    </x:row>
    <x:row r="7" ht="20" customHeight="1">
      <x:c r="A7" s="7" t="n">
        <x:v>1</x:v>
      </x:c>
      <x:c r="B7" s="27" t="str">
        <x:f>"0209451384"</x:f>
        <x:v>0209451384</x:v>
      </x:c>
      <x:c r="C7" s="7" t="str">
        <x:v>76S 225/300</x:v>
      </x:c>
      <x:c r="D7" s="28" t="str">
        <x:v>NO-GO</x:v>
      </x:c>
      <x:c r="E7" s="7" t="str">
        <x:v>Reduce</x:v>
      </x:c>
      <x:c r="F7" s="26" t="n">
        <x:v>6</x:v>
      </x:c>
      <x:c r="G7" s="26" t="n">
        <x:v>2</x:v>
      </x:c>
      <x:c r="H7" s="26" t="n">
        <x:v>1</x:v>
      </x:c>
      <x:c r="I7" s="26" t="n">
        <x:v>8</x:v>
      </x:c>
      <x:c r="J7" s="26" t="n">
        <x:v>0</x:v>
      </x:c>
      <x:c r="K7" s="26" t="n">
        <x:v>0</x:v>
      </x:c>
      <x:c r="L7" s="26" t="n">
        <x:v>3</x:v>
      </x:c>
      <x:c r="M7" s="26" t="n">
        <x:v>13</x:v>
      </x:c>
      <x:c r="N7" s="7" t="str">
        <x:v>NEXT CYCLE</x:v>
      </x:c>
      <x:c r="O7" s="7" t="str">
        <x:v>1 on hand; 3 total demand in 90d</x:v>
      </x:c>
    </x:row>
    <x:row r="8" ht="20" customHeight="1">
      <x:c r="A8" s="7" t="n">
        <x:v>2</x:v>
      </x:c>
      <x:c r="B8" s="27" t="str">
        <x:f>"0209450840"</x:f>
        <x:v>0209450840</x:v>
      </x:c>
      <x:c r="C8" s="7" t="str">
        <x:v>76S 225/300</x:v>
      </x:c>
      <x:c r="D8" s="28" t="str">
        <x:v>NO-GO</x:v>
      </x:c>
      <x:c r="E8" s="7" t="str">
        <x:v>Reduce</x:v>
      </x:c>
      <x:c r="F8" s="26" t="n">
        <x:v>6</x:v>
      </x:c>
      <x:c r="G8" s="26" t="n">
        <x:v>2</x:v>
      </x:c>
      <x:c r="H8" s="26" t="n">
        <x:v>1</x:v>
      </x:c>
      <x:c r="I8" s="26" t="n">
        <x:v>7</x:v>
      </x:c>
      <x:c r="J8" s="26" t="n">
        <x:v>0</x:v>
      </x:c>
      <x:c r="K8" s="26" t="n">
        <x:v>0</x:v>
      </x:c>
      <x:c r="L8" s="26" t="n">
        <x:v>3</x:v>
      </x:c>
      <x:c r="M8" s="26" t="n">
        <x:v>9</x:v>
      </x:c>
      <x:c r="N8" s="7" t="str">
        <x:v>NEXT CYCLE</x:v>
      </x:c>
      <x:c r="O8" s="7" t="str">
        <x:v>1 on hand; 3 total demand in 90d</x:v>
      </x:c>
    </x:row>
    <x:row r="9" ht="20" customHeight="1">
      <x:c r="A9" s="7" t="n">
        <x:v>3</x:v>
      </x:c>
      <x:c r="B9" s="27" t="str">
        <x:f>"0209450709"</x:f>
        <x:v>0209450709</x:v>
      </x:c>
      <x:c r="C9" s="7" t="str">
        <x:v>76S 425/175</x:v>
      </x:c>
      <x:c r="D9" s="28" t="str">
        <x:v>NO-GO</x:v>
      </x:c>
      <x:c r="E9" s="7" t="str">
        <x:v>Remove</x:v>
      </x:c>
      <x:c r="F9" s="26" t="n">
        <x:v>1</x:v>
      </x:c>
      <x:c r="G9" s="26" t="n">
        <x:v>0</x:v>
      </x:c>
      <x:c r="H9" s="26" t="n">
        <x:v>0</x:v>
      </x:c>
      <x:c r="I9" s="26" t="n">
        <x:v>0</x:v>
      </x:c>
      <x:c r="J9" s="26" t="n">
        <x:v>0</x:v>
      </x:c>
      <x:c r="K9" s="26" t="n">
        <x:v>0</x:v>
      </x:c>
      <x:c r="L9" s="26" t="n">
        <x:v>0</x:v>
      </x:c>
      <x:c r="M9" s="26" t="n">
        <x:v>0</x:v>
      </x:c>
      <x:c r="N9" s="7" t="str">
        <x:v>DORMANT</x:v>
      </x:c>
      <x:c r="O9" s="7" t="str">
        <x:v>No stock, Rx or breakage demand in 12 months</x:v>
      </x:c>
    </x:row>
    <x:row r="10" ht="20" customHeight="1">
      <x:c r="A10" s="7" t="n">
        <x:v>4</x:v>
      </x:c>
      <x:c r="B10" s="27" t="str">
        <x:f>"0209451269"</x:f>
        <x:v>0209451269</x:v>
      </x:c>
      <x:c r="C10" s="7" t="str">
        <x:v>76S 425/225</x:v>
      </x:c>
      <x:c r="D10" s="28" t="str">
        <x:v>GO</x:v>
      </x:c>
      <x:c r="E10" s="7" t="str">
        <x:v>Keep draft</x:v>
      </x:c>
      <x:c r="F10" s="26" t="n">
        <x:v>6</x:v>
      </x:c>
      <x:c r="G10" s="26" t="n">
        <x:v>6</x:v>
      </x:c>
      <x:c r="H10" s="26" t="n">
        <x:v>6</x:v>
      </x:c>
      <x:c r="I10" s="26" t="n">
        <x:v>18</x:v>
      </x:c>
      <x:c r="J10" s="26" t="n">
        <x:v>17</x:v>
      </x:c>
      <x:c r="K10" s="26" t="n">
        <x:v>0</x:v>
      </x:c>
      <x:c r="L10" s="26" t="n">
        <x:v>11</x:v>
      </x:c>
      <x:c r="M10" s="26" t="n">
        <x:v>0</x:v>
      </x:c>
      <x:c r="N10" s="7" t="str">
        <x:v>NEXT CYCLE</x:v>
      </x:c>
      <x:c r="O10" s="7" t="str">
        <x:v>6 on hand; 11 total demand in 90d</x:v>
      </x:c>
    </x:row>
    <x:row r="11" ht="20" customHeight="1">
      <x:c r="A11" s="7" t="n">
        <x:v>5</x:v>
      </x:c>
      <x:c r="B11" s="27" t="str">
        <x:f>"0209450725"</x:f>
        <x:v>0209450725</x:v>
      </x:c>
      <x:c r="C11" s="7" t="str">
        <x:v>76S 425/225</x:v>
      </x:c>
      <x:c r="D11" s="28" t="str">
        <x:v>GO</x:v>
      </x:c>
      <x:c r="E11" s="7" t="str">
        <x:v>Keep draft</x:v>
      </x:c>
      <x:c r="F11" s="26" t="n">
        <x:v>6</x:v>
      </x:c>
      <x:c r="G11" s="26" t="n">
        <x:v>6</x:v>
      </x:c>
      <x:c r="H11" s="26" t="n">
        <x:v>6</x:v>
      </x:c>
      <x:c r="I11" s="26" t="n">
        <x:v>18</x:v>
      </x:c>
      <x:c r="J11" s="26" t="n">
        <x:v>17</x:v>
      </x:c>
      <x:c r="K11" s="26" t="n">
        <x:v>2</x:v>
      </x:c>
      <x:c r="L11" s="26" t="n">
        <x:v>11</x:v>
      </x:c>
      <x:c r="M11" s="26" t="n">
        <x:v>0</x:v>
      </x:c>
      <x:c r="N11" s="7" t="str">
        <x:v>NEXT CYCLE</x:v>
      </x:c>
      <x:c r="O11" s="7" t="str">
        <x:v>6 on hand; 11 total demand in 90d</x:v>
      </x:c>
    </x:row>
    <x:row r="12" ht="20" customHeight="1">
      <x:c r="A12" s="7" t="n">
        <x:v>6</x:v>
      </x:c>
      <x:c r="B12" s="27" t="str">
        <x:f>"0209451277"</x:f>
        <x:v>0209451277</x:v>
      </x:c>
      <x:c r="C12" s="7" t="str">
        <x:v>76S 425/250</x:v>
      </x:c>
      <x:c r="D12" s="28" t="str">
        <x:v>GO</x:v>
      </x:c>
      <x:c r="E12" s="7" t="str">
        <x:v>Keep draft</x:v>
      </x:c>
      <x:c r="F12" s="26" t="n">
        <x:v>25</x:v>
      </x:c>
      <x:c r="G12" s="26" t="n">
        <x:v>25</x:v>
      </x:c>
      <x:c r="H12" s="26" t="n">
        <x:v>5</x:v>
      </x:c>
      <x:c r="I12" s="26" t="n">
        <x:v>60</x:v>
      </x:c>
      <x:c r="J12" s="26" t="n">
        <x:v>105</x:v>
      </x:c>
      <x:c r="K12" s="26" t="n">
        <x:v>1</x:v>
      </x:c>
      <x:c r="L12" s="26" t="n">
        <x:v>31</x:v>
      </x:c>
      <x:c r="M12" s="26" t="n">
        <x:v>0</x:v>
      </x:c>
      <x:c r="N12" s="7" t="str">
        <x:v>ORDER NOW</x:v>
      </x:c>
      <x:c r="O12" s="7" t="str">
        <x:v>5 on hand; 31 total demand in 90d</x:v>
      </x:c>
    </x:row>
    <x:row r="13" ht="20" customHeight="1">
      <x:c r="A13" s="7" t="n">
        <x:v>7</x:v>
      </x:c>
      <x:c r="B13" s="27" t="str">
        <x:f>"0209450733"</x:f>
        <x:v>0209450733</x:v>
      </x:c>
      <x:c r="C13" s="7" t="str">
        <x:v>76S 425/250</x:v>
      </x:c>
      <x:c r="D13" s="28" t="str">
        <x:v>GO</x:v>
      </x:c>
      <x:c r="E13" s="7" t="str">
        <x:v>Keep draft</x:v>
      </x:c>
      <x:c r="F13" s="26" t="n">
        <x:v>24</x:v>
      </x:c>
      <x:c r="G13" s="26" t="n">
        <x:v>24</x:v>
      </x:c>
      <x:c r="H13" s="26" t="n">
        <x:v>4</x:v>
      </x:c>
      <x:c r="I13" s="26" t="n">
        <x:v>60</x:v>
      </x:c>
      <x:c r="J13" s="26" t="n">
        <x:v>111</x:v>
      </x:c>
      <x:c r="K13" s="26" t="n">
        <x:v>0</x:v>
      </x:c>
      <x:c r="L13" s="26" t="n">
        <x:v>31</x:v>
      </x:c>
      <x:c r="M13" s="26" t="n">
        <x:v>25</x:v>
      </x:c>
      <x:c r="N13" s="7" t="str">
        <x:v>ORDER NOW</x:v>
      </x:c>
      <x:c r="O13" s="7" t="str">
        <x:v>4 on hand; 31 total demand in 90d</x:v>
      </x:c>
    </x:row>
    <x:row r="14" ht="20" customHeight="1">
      <x:c r="A14" s="7" t="n">
        <x:v>8</x:v>
      </x:c>
      <x:c r="B14" s="27" t="str">
        <x:f>"0209451285"</x:f>
        <x:v>0209451285</x:v>
      </x:c>
      <x:c r="C14" s="7" t="str">
        <x:v>76S 425/275</x:v>
      </x:c>
      <x:c r="D14" s="28" t="str">
        <x:v>GO</x:v>
      </x:c>
      <x:c r="E14" s="7" t="str">
        <x:v>Keep draft</x:v>
      </x:c>
      <x:c r="F14" s="26" t="n">
        <x:v>15</x:v>
      </x:c>
      <x:c r="G14" s="26" t="n">
        <x:v>15</x:v>
      </x:c>
      <x:c r="H14" s="26" t="n">
        <x:v>2</x:v>
      </x:c>
      <x:c r="I14" s="26" t="n">
        <x:v>23</x:v>
      </x:c>
      <x:c r="J14" s="26" t="n">
        <x:v>80</x:v>
      </x:c>
      <x:c r="K14" s="26" t="n">
        <x:v>0</x:v>
      </x:c>
      <x:c r="L14" s="26" t="n">
        <x:v>19</x:v>
      </x:c>
      <x:c r="M14" s="26" t="n">
        <x:v>20</x:v>
      </x:c>
      <x:c r="N14" s="7" t="str">
        <x:v>ORDER NOW</x:v>
      </x:c>
      <x:c r="O14" s="7" t="str">
        <x:v>2 on hand; 19 total demand in 90d</x:v>
      </x:c>
    </x:row>
    <x:row r="15" ht="20" customHeight="1">
      <x:c r="A15" s="7" t="n">
        <x:v>9</x:v>
      </x:c>
      <x:c r="B15" s="27" t="str">
        <x:f>"0209450741"</x:f>
        <x:v>0209450741</x:v>
      </x:c>
      <x:c r="C15" s="7" t="str">
        <x:v>76S 425/275</x:v>
      </x:c>
      <x:c r="D15" s="28" t="str">
        <x:v>GO</x:v>
      </x:c>
      <x:c r="E15" s="7" t="str">
        <x:v>Keep draft</x:v>
      </x:c>
      <x:c r="F15" s="26" t="n">
        <x:v>15</x:v>
      </x:c>
      <x:c r="G15" s="26" t="n">
        <x:v>15</x:v>
      </x:c>
      <x:c r="H15" s="26" t="n">
        <x:v>2</x:v>
      </x:c>
      <x:c r="I15" s="26" t="n">
        <x:v>22</x:v>
      </x:c>
      <x:c r="J15" s="26" t="n">
        <x:v>74</x:v>
      </x:c>
      <x:c r="K15" s="26" t="n">
        <x:v>1</x:v>
      </x:c>
      <x:c r="L15" s="26" t="n">
        <x:v>19</x:v>
      </x:c>
      <x:c r="M15" s="26" t="n">
        <x:v>20</x:v>
      </x:c>
      <x:c r="N15" s="7" t="str">
        <x:v>ORDER NOW</x:v>
      </x:c>
      <x:c r="O15" s="7" t="str">
        <x:v>2 on hand; 19 total demand in 90d</x:v>
      </x:c>
    </x:row>
    <x:row r="16" ht="20" customHeight="1">
      <x:c r="A16" s="7" t="n">
        <x:v>10</x:v>
      </x:c>
      <x:c r="B16" s="27" t="str">
        <x:f>"0209451293"</x:f>
        <x:v>0209451293</x:v>
      </x:c>
      <x:c r="C16" s="7" t="str">
        <x:v>76S 425/300</x:v>
      </x:c>
      <x:c r="D16" s="28" t="str">
        <x:v>GO</x:v>
      </x:c>
      <x:c r="E16" s="7" t="str">
        <x:v>Keep draft</x:v>
      </x:c>
      <x:c r="F16" s="26" t="n">
        <x:v>3</x:v>
      </x:c>
      <x:c r="G16" s="26" t="n">
        <x:v>3</x:v>
      </x:c>
      <x:c r="H16" s="26" t="n">
        <x:v>7</x:v>
      </x:c>
      <x:c r="I16" s="26" t="n">
        <x:v>38</x:v>
      </x:c>
      <x:c r="J16" s="26" t="n">
        <x:v>35</x:v>
      </x:c>
      <x:c r="K16" s="26" t="n">
        <x:v>0</x:v>
      </x:c>
      <x:c r="L16" s="26" t="n">
        <x:v>21</x:v>
      </x:c>
      <x:c r="M16" s="26" t="n">
        <x:v>6</x:v>
      </x:c>
      <x:c r="N16" s="7" t="str">
        <x:v>ORDER NOW</x:v>
      </x:c>
      <x:c r="O16" s="7" t="str">
        <x:v>7 on hand; 21 total demand in 90d</x:v>
      </x:c>
    </x:row>
    <x:row r="17" ht="20" customHeight="1">
      <x:c r="A17" s="7" t="n">
        <x:v>11</x:v>
      </x:c>
      <x:c r="B17" s="27" t="str">
        <x:f>"0209450758"</x:f>
        <x:v>0209450758</x:v>
      </x:c>
      <x:c r="C17" s="7" t="str">
        <x:v>76S 425/300</x:v>
      </x:c>
      <x:c r="D17" s="28" t="str">
        <x:v>GO</x:v>
      </x:c>
      <x:c r="E17" s="7" t="str">
        <x:v>Keep draft</x:v>
      </x:c>
      <x:c r="F17" s="26" t="n">
        <x:v>3</x:v>
      </x:c>
      <x:c r="G17" s="26" t="n">
        <x:v>3</x:v>
      </x:c>
      <x:c r="H17" s="26" t="n">
        <x:v>7</x:v>
      </x:c>
      <x:c r="I17" s="26" t="n">
        <x:v>39</x:v>
      </x:c>
      <x:c r="J17" s="26" t="n">
        <x:v>36</x:v>
      </x:c>
      <x:c r="K17" s="26" t="n">
        <x:v>1</x:v>
      </x:c>
      <x:c r="L17" s="26" t="n">
        <x:v>22</x:v>
      </x:c>
      <x:c r="M17" s="26" t="n">
        <x:v>24</x:v>
      </x:c>
      <x:c r="N17" s="7" t="str">
        <x:v>ORDER NOW</x:v>
      </x:c>
      <x:c r="O17" s="7" t="str">
        <x:v>7 on hand; 22 total demand in 90d</x:v>
      </x:c>
    </x:row>
    <x:row r="18" ht="20" customHeight="1">
      <x:c r="A18" s="7" t="n">
        <x:v>12</x:v>
      </x:c>
      <x:c r="B18" s="27" t="str">
        <x:f>"0209451095"</x:f>
        <x:v>0209451095</x:v>
      </x:c>
      <x:c r="C18" s="7" t="str">
        <x:v>76S 625/250</x:v>
      </x:c>
      <x:c r="D18" s="28" t="str">
        <x:v>NO-GO</x:v>
      </x:c>
      <x:c r="E18" s="7" t="str">
        <x:v>Reduce</x:v>
      </x:c>
      <x:c r="F18" s="26" t="n">
        <x:v>18</x:v>
      </x:c>
      <x:c r="G18" s="26" t="n">
        <x:v>13</x:v>
      </x:c>
      <x:c r="H18" s="26" t="n">
        <x:v>2</x:v>
      </x:c>
      <x:c r="I18" s="26" t="n">
        <x:v>14</x:v>
      </x:c>
      <x:c r="J18" s="26" t="n">
        <x:v>58</x:v>
      </x:c>
      <x:c r="K18" s="26" t="n">
        <x:v>0</x:v>
      </x:c>
      <x:c r="L18" s="26" t="n">
        <x:v>21</x:v>
      </x:c>
      <x:c r="M18" s="26" t="n">
        <x:v>10</x:v>
      </x:c>
      <x:c r="N18" s="7" t="str">
        <x:v>ORDER NOW</x:v>
      </x:c>
      <x:c r="O18" s="7" t="str">
        <x:v>2 on hand; 21 total demand in 90d</x:v>
      </x:c>
    </x:row>
    <x:row r="19" ht="20" customHeight="1">
      <x:c r="A19" s="7" t="n">
        <x:v>13</x:v>
      </x:c>
      <x:c r="B19" s="27" t="str">
        <x:f>"0209450550"</x:f>
        <x:v>0209450550</x:v>
      </x:c>
      <x:c r="C19" s="7" t="str">
        <x:v>76S 625/250</x:v>
      </x:c>
      <x:c r="D19" s="28" t="str">
        <x:v>NO-GO</x:v>
      </x:c>
      <x:c r="E19" s="7" t="str">
        <x:v>Reduce</x:v>
      </x:c>
      <x:c r="F19" s="26" t="n">
        <x:v>18</x:v>
      </x:c>
      <x:c r="G19" s="26" t="n">
        <x:v>13</x:v>
      </x:c>
      <x:c r="H19" s="26" t="n">
        <x:v>2</x:v>
      </x:c>
      <x:c r="I19" s="26" t="n">
        <x:v>14</x:v>
      </x:c>
      <x:c r="J19" s="26" t="n">
        <x:v>58</x:v>
      </x:c>
      <x:c r="K19" s="26" t="n">
        <x:v>0</x:v>
      </x:c>
      <x:c r="L19" s="26" t="n">
        <x:v>21</x:v>
      </x:c>
      <x:c r="M19" s="26" t="n">
        <x:v>0</x:v>
      </x:c>
      <x:c r="N19" s="7" t="str">
        <x:v>ORDER NOW</x:v>
      </x:c>
      <x:c r="O19" s="7" t="str">
        <x:v>2 on hand; 21 total demand in 90d</x:v>
      </x:c>
    </x:row>
    <x:row r="20" ht="20" customHeight="1">
      <x:c r="A20" s="7" t="n">
        <x:v>14</x:v>
      </x:c>
      <x:c r="B20" s="27" t="str">
        <x:f>"0194292785"</x:f>
        <x:v>0194292785</x:v>
      </x:c>
      <x:c r="C20" s="7" t="str">
        <x:v>76S 400/250</x:v>
      </x:c>
      <x:c r="D20" s="28" t="str">
        <x:v>GO</x:v>
      </x:c>
      <x:c r="E20" s="7" t="str">
        <x:v>Keep draft</x:v>
      </x:c>
      <x:c r="F20" s="26" t="n">
        <x:v>1</x:v>
      </x:c>
      <x:c r="G20" s="26" t="n">
        <x:v>1</x:v>
      </x:c>
      <x:c r="H20" s="26" t="n">
        <x:v>1</x:v>
      </x:c>
      <x:c r="I20" s="26" t="n">
        <x:v>2</x:v>
      </x:c>
      <x:c r="J20" s="26" t="n">
        <x:v>0</x:v>
      </x:c>
      <x:c r="K20" s="26" t="n">
        <x:v>1</x:v>
      </x:c>
      <x:c r="L20" s="26" t="n">
        <x:v>1</x:v>
      </x:c>
      <x:c r="M20" s="26" t="n">
        <x:v>0</x:v>
      </x:c>
      <x:c r="N20" s="7" t="str">
        <x:v>NEXT CYCLE</x:v>
      </x:c>
      <x:c r="O20" s="7" t="str">
        <x:v>1 on hand; 1 total demand in 90d</x:v>
      </x:c>
    </x:row>
    <x:row r="21" ht="20" customHeight="1">
      <x:c r="A21" s="7" t="n">
        <x:v>15</x:v>
      </x:c>
      <x:c r="B21" s="27" t="str">
        <x:f>"0194292181"</x:f>
        <x:v>0194292181</x:v>
      </x:c>
      <x:c r="C21" s="7" t="str">
        <x:v>76S 400/250</x:v>
      </x:c>
      <x:c r="D21" s="28" t="str">
        <x:v>GO</x:v>
      </x:c>
      <x:c r="E21" s="7" t="str">
        <x:v>Keep draft</x:v>
      </x:c>
      <x:c r="F21" s="26" t="n">
        <x:v>1</x:v>
      </x:c>
      <x:c r="G21" s="26" t="n">
        <x:v>1</x:v>
      </x:c>
      <x:c r="H21" s="26" t="n">
        <x:v>1</x:v>
      </x:c>
      <x:c r="I21" s="26" t="n">
        <x:v>2</x:v>
      </x:c>
      <x:c r="J21" s="26" t="n">
        <x:v>0</x:v>
      </x:c>
      <x:c r="K21" s="26" t="n">
        <x:v>0</x:v>
      </x:c>
      <x:c r="L21" s="26" t="n">
        <x:v>1</x:v>
      </x:c>
      <x:c r="M21" s="26" t="n">
        <x:v>0</x:v>
      </x:c>
      <x:c r="N21" s="7" t="str">
        <x:v>NEXT CYCLE</x:v>
      </x:c>
      <x:c r="O21" s="7" t="str">
        <x:v>1 on hand; 1 total demand in 90d</x:v>
      </x:c>
    </x:row>
    <x:row r="22" ht="20" customHeight="1">
      <x:c r="A22" s="7" t="n">
        <x:v>16</x:v>
      </x:c>
      <x:c r="B22" s="27" t="str">
        <x:f>"0194292553"</x:f>
        <x:v>0194292553</x:v>
      </x:c>
      <x:c r="C22" s="7" t="str">
        <x:v>76S 650/275</x:v>
      </x:c>
      <x:c r="D22" s="28" t="str">
        <x:v>GO</x:v>
      </x:c>
      <x:c r="E22" s="7" t="str">
        <x:v>Keep draft</x:v>
      </x:c>
      <x:c r="F22" s="26" t="n">
        <x:v>1</x:v>
      </x:c>
      <x:c r="G22" s="26" t="n">
        <x:v>1</x:v>
      </x:c>
      <x:c r="H22" s="26" t="n">
        <x:v>1</x:v>
      </x:c>
      <x:c r="I22" s="26" t="n">
        <x:v>2</x:v>
      </x:c>
      <x:c r="J22" s="26" t="n">
        <x:v>0</x:v>
      </x:c>
      <x:c r="K22" s="26" t="n">
        <x:v>0</x:v>
      </x:c>
      <x:c r="L22" s="26" t="n">
        <x:v>1</x:v>
      </x:c>
      <x:c r="M22" s="26" t="n">
        <x:v>0</x:v>
      </x:c>
      <x:c r="N22" s="7" t="str">
        <x:v>NEXT CYCLE</x:v>
      </x:c>
      <x:c r="O22" s="7" t="str">
        <x:v>1 on hand; 1 total demand in 90d</x:v>
      </x:c>
    </x:row>
    <x:row r="23" ht="20" customHeight="1">
      <x:c r="A23" s="7" t="n">
        <x:v>17</x:v>
      </x:c>
      <x:c r="B23" s="27" t="str">
        <x:f>"0194291951"</x:f>
        <x:v>0194291951</x:v>
      </x:c>
      <x:c r="C23" s="7" t="str">
        <x:v>76S 650/275</x:v>
      </x:c>
      <x:c r="D23" s="28" t="str">
        <x:v>GO</x:v>
      </x:c>
      <x:c r="E23" s="7" t="str">
        <x:v>Keep draft</x:v>
      </x:c>
      <x:c r="F23" s="26" t="n">
        <x:v>1</x:v>
      </x:c>
      <x:c r="G23" s="26" t="n">
        <x:v>1</x:v>
      </x:c>
      <x:c r="H23" s="26" t="n">
        <x:v>1</x:v>
      </x:c>
      <x:c r="I23" s="26" t="n">
        <x:v>2</x:v>
      </x:c>
      <x:c r="J23" s="26" t="n">
        <x:v>0</x:v>
      </x:c>
      <x:c r="K23" s="26" t="n">
        <x:v>0</x:v>
      </x:c>
      <x:c r="L23" s="26" t="n">
        <x:v>1</x:v>
      </x:c>
      <x:c r="M23" s="26" t="n">
        <x:v>0</x:v>
      </x:c>
      <x:c r="N23" s="7" t="str">
        <x:v>NEXT CYCLE</x:v>
      </x:c>
      <x:c r="O23" s="7" t="str">
        <x:v>1 on hand; 1 total demand in 90d</x:v>
      </x:c>
    </x:row>
    <x:row r="24" ht="20" customHeight="1">
      <x:c r="A24" s="7" t="n">
        <x:v>18</x:v>
      </x:c>
      <x:c r="B24" s="27" t="str">
        <x:f>"0217896844"</x:f>
        <x:v>0217896844</x:v>
      </x:c>
      <x:c r="C24" s="7" t="str">
        <x:v>78S 450/125</x:v>
      </x:c>
      <x:c r="D24" s="28" t="str">
        <x:v>NO-GO</x:v>
      </x:c>
      <x:c r="E24" s="7" t="str">
        <x:v>Remove</x:v>
      </x:c>
      <x:c r="F24" s="26" t="n">
        <x:v>1</x:v>
      </x:c>
      <x:c r="G24" s="26" t="n">
        <x:v>0</x:v>
      </x:c>
      <x:c r="H24" s="26" t="n">
        <x:v>1</x:v>
      </x:c>
      <x:c r="I24" s="26" t="n">
        <x:v>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7" t="str">
        <x:v>DORMANT</x:v>
      </x:c>
      <x:c r="O24" s="7" t="str">
        <x:v>No stock, Rx or breakage demand in 12 months</x:v>
      </x:c>
    </x:row>
    <x:row r="25" ht="20" customHeight="1">
      <x:c r="A25" s="7" t="n">
        <x:v>19</x:v>
      </x:c>
      <x:c r="B25" s="27" t="str">
        <x:f>"0217896836"</x:f>
        <x:v>0217896836</x:v>
      </x:c>
      <x:c r="C25" s="7" t="str">
        <x:v>78S 450/125</x:v>
      </x:c>
      <x:c r="D25" s="28" t="str">
        <x:v>NO-GO</x:v>
      </x:c>
      <x:c r="E25" s="7" t="str">
        <x:v>Remove</x:v>
      </x:c>
      <x:c r="F25" s="26" t="n">
        <x:v>1</x:v>
      </x:c>
      <x:c r="G25" s="26" t="n">
        <x:v>0</x:v>
      </x:c>
      <x:c r="H25" s="26" t="n">
        <x:v>1</x:v>
      </x:c>
      <x:c r="I25" s="26" t="n">
        <x:v>0</x:v>
      </x:c>
      <x:c r="J25" s="26" t="n">
        <x:v>0</x:v>
      </x:c>
      <x:c r="K25" s="26" t="n">
        <x:v>0</x:v>
      </x:c>
      <x:c r="L25" s="26" t="n">
        <x:v>0</x:v>
      </x:c>
      <x:c r="M25" s="26" t="n">
        <x:v>0</x:v>
      </x:c>
      <x:c r="N25" s="7" t="str">
        <x:v>DORMANT</x:v>
      </x:c>
      <x:c r="O25" s="7" t="str">
        <x:v>No stock, Rx or breakage demand in 12 months</x:v>
      </x:c>
    </x:row>
    <x:row r="26" ht="20" customHeight="1">
      <x:c r="A26" s="7" t="n">
        <x:v>20</x:v>
      </x:c>
      <x:c r="B26" s="27" t="str">
        <x:f>"0217896869"</x:f>
        <x:v>0217896869</x:v>
      </x:c>
      <x:c r="C26" s="7" t="str">
        <x:v>78S 450/150</x:v>
      </x:c>
      <x:c r="D26" s="28" t="str">
        <x:v>GO</x:v>
      </x:c>
      <x:c r="E26" s="7" t="str">
        <x:v>Keep draft</x:v>
      </x:c>
      <x:c r="F26" s="26" t="n">
        <x:v>1</x:v>
      </x:c>
      <x:c r="G26" s="26" t="n">
        <x:v>1</x:v>
      </x:c>
      <x:c r="H26" s="26" t="n">
        <x:v>1</x:v>
      </x:c>
      <x:c r="I26" s="26" t="n">
        <x:v>3</x:v>
      </x:c>
      <x:c r="J26" s="26" t="n">
        <x:v>0</x:v>
      </x:c>
      <x:c r="K26" s="26" t="n">
        <x:v>0</x:v>
      </x:c>
      <x:c r="L26" s="26" t="n">
        <x:v>0</x:v>
      </x:c>
      <x:c r="M26" s="26" t="n">
        <x:v>0</x:v>
      </x:c>
      <x:c r="N26" s="7" t="str">
        <x:v>NEXT CYCLE</x:v>
      </x:c>
      <x:c r="O26" s="7" t="str">
        <x:v>1 on hand; 0 total demand in 90d</x:v>
      </x:c>
    </x:row>
    <x:row r="27" ht="20" customHeight="1">
      <x:c r="A27" s="7" t="n">
        <x:v>21</x:v>
      </x:c>
      <x:c r="B27" s="27" t="str">
        <x:f>"0217896851"</x:f>
        <x:v>0217896851</x:v>
      </x:c>
      <x:c r="C27" s="7" t="str">
        <x:v>78S 450/150</x:v>
      </x:c>
      <x:c r="D27" s="28" t="str">
        <x:v>GO</x:v>
      </x:c>
      <x:c r="E27" s="7" t="str">
        <x:v>Keep draft</x:v>
      </x:c>
      <x:c r="F27" s="26" t="n">
        <x:v>1</x:v>
      </x:c>
      <x:c r="G27" s="26" t="n">
        <x:v>1</x:v>
      </x:c>
      <x:c r="H27" s="26" t="n">
        <x:v>1</x:v>
      </x:c>
      <x:c r="I27" s="26" t="n">
        <x:v>3</x:v>
      </x:c>
      <x:c r="J27" s="26" t="n">
        <x:v>0</x:v>
      </x:c>
      <x:c r="K27" s="26" t="n">
        <x:v>0</x:v>
      </x:c>
      <x:c r="L27" s="26" t="n">
        <x:v>0</x:v>
      </x:c>
      <x:c r="M27" s="26" t="n">
        <x:v>0</x:v>
      </x:c>
      <x:c r="N27" s="7" t="str">
        <x:v>NEXT CYCLE</x:v>
      </x:c>
      <x:c r="O27" s="7" t="str">
        <x:v>1 on hand; 0 total demand in 90d</x:v>
      </x:c>
    </x:row>
    <x:row r="28" ht="20" customHeight="1">
      <x:c r="A28" s="7" t="n">
        <x:v>22</x:v>
      </x:c>
      <x:c r="B28" s="27" t="str">
        <x:f>"0217896927"</x:f>
        <x:v>0217896927</x:v>
      </x:c>
      <x:c r="C28" s="7" t="str">
        <x:v>78S 450/225</x:v>
      </x:c>
      <x:c r="D28" s="28" t="str">
        <x:v>GO</x:v>
      </x:c>
      <x:c r="E28" s="7" t="str">
        <x:v>Keep draft</x:v>
      </x:c>
      <x:c r="F28" s="26" t="n">
        <x:v>2</x:v>
      </x:c>
      <x:c r="G28" s="26" t="n">
        <x:v>2</x:v>
      </x:c>
      <x:c r="H28" s="26" t="n">
        <x:v>1</x:v>
      </x:c>
      <x:c r="I28" s="26" t="n">
        <x:v>6</x:v>
      </x:c>
      <x:c r="J28" s="26" t="n">
        <x:v>0</x:v>
      </x:c>
      <x:c r="K28" s="26" t="n">
        <x:v>0</x:v>
      </x:c>
      <x:c r="L28" s="26" t="n">
        <x:v>1</x:v>
      </x:c>
      <x:c r="M28" s="26" t="n">
        <x:v>0</x:v>
      </x:c>
      <x:c r="N28" s="7" t="str">
        <x:v>NEXT CYCLE</x:v>
      </x:c>
      <x:c r="O28" s="7" t="str">
        <x:v>1 on hand; 1 total demand in 90d</x:v>
      </x:c>
    </x:row>
    <x:row r="29" ht="20" customHeight="1">
      <x:c r="A29" s="7" t="n">
        <x:v>23</x:v>
      </x:c>
      <x:c r="B29" s="27" t="str">
        <x:f>"0217896919"</x:f>
        <x:v>0217896919</x:v>
      </x:c>
      <x:c r="C29" s="7" t="str">
        <x:v>78S 450/225</x:v>
      </x:c>
      <x:c r="D29" s="28" t="str">
        <x:v>GO</x:v>
      </x:c>
      <x:c r="E29" s="7" t="str">
        <x:v>Keep draft</x:v>
      </x:c>
      <x:c r="F29" s="26" t="n">
        <x:v>1</x:v>
      </x:c>
      <x:c r="G29" s="26" t="n">
        <x:v>1</x:v>
      </x:c>
      <x:c r="H29" s="26" t="n">
        <x:v>0</x:v>
      </x:c>
      <x:c r="I29" s="26" t="n">
        <x:v>4</x:v>
      </x:c>
      <x:c r="J29" s="26" t="n">
        <x:v>0</x:v>
      </x:c>
      <x:c r="K29" s="26" t="n">
        <x:v>0</x:v>
      </x:c>
      <x:c r="L29" s="26" t="n">
        <x:v>1</x:v>
      </x:c>
      <x:c r="M29" s="26" t="n">
        <x:v>0</x:v>
      </x:c>
      <x:c r="N29" s="7" t="str">
        <x:v>ORDER NOW</x:v>
      </x:c>
      <x:c r="O29" s="7" t="str">
        <x:v>0 on hand; 1 total demand in 90d</x:v>
      </x:c>
    </x:row>
    <x:row r="30" ht="20" customHeight="1">
      <x:c r="A30" s="7" t="n">
        <x:v>24</x:v>
      </x:c>
      <x:c r="B30" s="27" t="str">
        <x:f>"0217896943"</x:f>
        <x:v>0217896943</x:v>
      </x:c>
      <x:c r="C30" s="7" t="str">
        <x:v>78S 450/250</x:v>
      </x:c>
      <x:c r="D30" s="28" t="str">
        <x:v>GO</x:v>
      </x:c>
      <x:c r="E30" s="7" t="str">
        <x:v>Keep draft</x:v>
      </x:c>
      <x:c r="F30" s="26" t="n">
        <x:v>3</x:v>
      </x:c>
      <x:c r="G30" s="26" t="n">
        <x:v>3</x:v>
      </x:c>
      <x:c r="H30" s="26" t="n">
        <x:v>0</x:v>
      </x:c>
      <x:c r="I30" s="26" t="n">
        <x:v>13</x:v>
      </x:c>
      <x:c r="J30" s="26" t="n">
        <x:v>0</x:v>
      </x:c>
      <x:c r="K30" s="26" t="n">
        <x:v>0</x:v>
      </x:c>
      <x:c r="L30" s="26" t="n">
        <x:v>2</x:v>
      </x:c>
      <x:c r="M30" s="26" t="n">
        <x:v>0</x:v>
      </x:c>
      <x:c r="N30" s="7" t="str">
        <x:v>ORDER NOW</x:v>
      </x:c>
      <x:c r="O30" s="7" t="str">
        <x:v>0 on hand; 2 total demand in 90d</x:v>
      </x:c>
    </x:row>
    <x:row r="31" ht="20" customHeight="1">
      <x:c r="A31" s="7" t="n">
        <x:v>25</x:v>
      </x:c>
      <x:c r="B31" s="27" t="str">
        <x:f>"0217896935"</x:f>
        <x:v>0217896935</x:v>
      </x:c>
      <x:c r="C31" s="7" t="str">
        <x:v>78S 450/250</x:v>
      </x:c>
      <x:c r="D31" s="28" t="str">
        <x:v>GO</x:v>
      </x:c>
      <x:c r="E31" s="7" t="str">
        <x:v>Keep draft</x:v>
      </x:c>
      <x:c r="F31" s="26" t="n">
        <x:v>3</x:v>
      </x:c>
      <x:c r="G31" s="26" t="n">
        <x:v>3</x:v>
      </x:c>
      <x:c r="H31" s="26" t="n">
        <x:v>0</x:v>
      </x:c>
      <x:c r="I31" s="26" t="n">
        <x:v>13</x:v>
      </x:c>
      <x:c r="J31" s="26" t="n">
        <x:v>0</x:v>
      </x:c>
      <x:c r="K31" s="26" t="n">
        <x:v>0</x:v>
      </x:c>
      <x:c r="L31" s="26" t="n">
        <x:v>2</x:v>
      </x:c>
      <x:c r="M31" s="26" t="n">
        <x:v>0</x:v>
      </x:c>
      <x:c r="N31" s="7" t="str">
        <x:v>ORDER NOW</x:v>
      </x:c>
      <x:c r="O31" s="7" t="str">
        <x:v>0 on hand; 2 total demand in 90d</x:v>
      </x:c>
    </x:row>
    <x:row r="32" ht="20" customHeight="1">
      <x:c r="A32" s="7" t="n">
        <x:v>26</x:v>
      </x:c>
      <x:c r="B32" s="27" t="str">
        <x:f>"0217896984"</x:f>
        <x:v>0217896984</x:v>
      </x:c>
      <x:c r="C32" s="7" t="str">
        <x:v>78S 450/300</x:v>
      </x:c>
      <x:c r="D32" s="28" t="str">
        <x:v>GO</x:v>
      </x:c>
      <x:c r="E32" s="7" t="str">
        <x:v>Keep draft</x:v>
      </x:c>
      <x:c r="F32" s="26" t="n">
        <x:v>1</x:v>
      </x:c>
      <x:c r="G32" s="26" t="n">
        <x:v>1</x:v>
      </x:c>
      <x:c r="H32" s="26" t="n">
        <x:v>1</x:v>
      </x:c>
      <x:c r="I32" s="26" t="n">
        <x:v>1</x:v>
      </x:c>
      <x:c r="J32" s="26" t="n">
        <x:v>0</x:v>
      </x:c>
      <x:c r="K32" s="26" t="n">
        <x:v>0</x:v>
      </x:c>
      <x:c r="L32" s="26" t="n">
        <x:v>0</x:v>
      </x:c>
      <x:c r="M32" s="26" t="n">
        <x:v>0</x:v>
      </x:c>
      <x:c r="N32" s="7" t="str">
        <x:v>NEXT CYCLE</x:v>
      </x:c>
      <x:c r="O32" s="7" t="str">
        <x:v>1 on hand; 0 total demand in 90d</x:v>
      </x:c>
    </x:row>
    <x:row r="33" ht="20" customHeight="1">
      <x:c r="A33" s="7" t="n">
        <x:v>27</x:v>
      </x:c>
      <x:c r="B33" s="27" t="str">
        <x:f>"0217896976"</x:f>
        <x:v>0217896976</x:v>
      </x:c>
      <x:c r="C33" s="7" t="str">
        <x:v>78S 450/300</x:v>
      </x:c>
      <x:c r="D33" s="28" t="str">
        <x:v>GO</x:v>
      </x:c>
      <x:c r="E33" s="7" t="str">
        <x:v>Keep draft</x:v>
      </x:c>
      <x:c r="F33" s="26" t="n">
        <x:v>1</x:v>
      </x:c>
      <x:c r="G33" s="26" t="n">
        <x:v>1</x:v>
      </x:c>
      <x:c r="H33" s="26" t="n">
        <x:v>1</x:v>
      </x:c>
      <x:c r="I33" s="26" t="n">
        <x:v>1</x:v>
      </x:c>
      <x:c r="J33" s="26" t="n">
        <x:v>0</x:v>
      </x:c>
      <x:c r="K33" s="26" t="n">
        <x:v>0</x:v>
      </x:c>
      <x:c r="L33" s="26" t="n">
        <x:v>0</x:v>
      </x:c>
      <x:c r="M33" s="26" t="n">
        <x:v>0</x:v>
      </x:c>
      <x:c r="N33" s="7" t="str">
        <x:v>NEXT CYCLE</x:v>
      </x:c>
      <x:c r="O33" s="7" t="str">
        <x:v>1 on hand; 0 total demand in 90d</x:v>
      </x:c>
    </x:row>
    <x:row r="34" ht="20" customHeight="1">
      <x:c r="A34" s="7" t="n">
        <x:v>28</x:v>
      </x:c>
      <x:c r="B34" s="27" t="str">
        <x:f>"0217897222"</x:f>
        <x:v>0217897222</x:v>
      </x:c>
      <x:c r="C34" s="7" t="str">
        <x:v>78S 650/100</x:v>
      </x:c>
      <x:c r="D34" s="28" t="str">
        <x:v>NO-GO</x:v>
      </x:c>
      <x:c r="E34" s="7" t="str">
        <x:v>Remove</x:v>
      </x:c>
      <x:c r="F34" s="26" t="n">
        <x:v>1</x:v>
      </x:c>
      <x:c r="G34" s="26" t="n">
        <x:v>0</x:v>
      </x:c>
      <x:c r="H34" s="26" t="n">
        <x:v>0</x:v>
      </x:c>
      <x:c r="I34" s="26" t="n">
        <x:v>0</x:v>
      </x:c>
      <x:c r="J34" s="26" t="n">
        <x:v>0</x:v>
      </x:c>
      <x:c r="K34" s="26" t="n">
        <x:v>0</x:v>
      </x:c>
      <x:c r="L34" s="26" t="n">
        <x:v>0</x:v>
      </x:c>
      <x:c r="M34" s="26" t="n">
        <x:v>0</x:v>
      </x:c>
      <x:c r="N34" s="7" t="str">
        <x:v>DORMANT</x:v>
      </x:c>
      <x:c r="O34" s="7" t="str">
        <x:v>No stock, Rx or breakage demand in 12 months</x:v>
      </x:c>
    </x:row>
    <x:row r="35" ht="20" customHeight="1">
      <x:c r="A35" s="7" t="n">
        <x:v>29</x:v>
      </x:c>
      <x:c r="B35" s="27" t="str">
        <x:f>"0217897214"</x:f>
        <x:v>0217897214</x:v>
      </x:c>
      <x:c r="C35" s="7" t="str">
        <x:v>78S 650/100</x:v>
      </x:c>
      <x:c r="D35" s="28" t="str">
        <x:v>NO-GO</x:v>
      </x:c>
      <x:c r="E35" s="7" t="str">
        <x:v>Remove</x:v>
      </x:c>
      <x:c r="F35" s="26" t="n">
        <x:v>1</x:v>
      </x:c>
      <x:c r="G35" s="26" t="n">
        <x:v>0</x:v>
      </x:c>
      <x:c r="H35" s="26" t="n">
        <x:v>0</x:v>
      </x:c>
      <x:c r="I35" s="26" t="n">
        <x:v>0</x:v>
      </x:c>
      <x:c r="J35" s="26" t="n">
        <x:v>0</x:v>
      </x:c>
      <x:c r="K35" s="26" t="n">
        <x:v>0</x:v>
      </x:c>
      <x:c r="L35" s="26" t="n">
        <x:v>0</x:v>
      </x:c>
      <x:c r="M35" s="26" t="n">
        <x:v>0</x:v>
      </x:c>
      <x:c r="N35" s="7" t="str">
        <x:v>DORMANT</x:v>
      </x:c>
      <x:c r="O35" s="7" t="str">
        <x:v>No stock, Rx or breakage demand in 12 months</x:v>
      </x:c>
    </x:row>
    <x:row r="36" ht="20" customHeight="1">
      <x:c r="A36" s="7" t="n">
        <x:v>30</x:v>
      </x:c>
      <x:c r="B36" s="27" t="str">
        <x:f>"0217897388"</x:f>
        <x:v>0217897388</x:v>
      </x:c>
      <x:c r="C36" s="7" t="str">
        <x:v>78S 650/300</x:v>
      </x:c>
      <x:c r="D36" s="28" t="str">
        <x:v>NO-GO</x:v>
      </x:c>
      <x:c r="E36" s="7" t="str">
        <x:v>Remove</x:v>
      </x:c>
      <x:c r="F36" s="26" t="n">
        <x:v>1</x:v>
      </x:c>
      <x:c r="G36" s="26" t="n">
        <x:v>0</x:v>
      </x:c>
      <x:c r="H36" s="26" t="n">
        <x:v>1</x:v>
      </x:c>
      <x:c r="I36" s="26" t="n">
        <x:v>0</x:v>
      </x:c>
      <x:c r="J36" s="26" t="n">
        <x:v>0</x:v>
      </x:c>
      <x:c r="K36" s="26" t="n">
        <x:v>0</x:v>
      </x:c>
      <x:c r="L36" s="26" t="n">
        <x:v>0</x:v>
      </x:c>
      <x:c r="M36" s="26" t="n">
        <x:v>2</x:v>
      </x:c>
      <x:c r="N36" s="7" t="str">
        <x:v>DORMANT</x:v>
      </x:c>
      <x:c r="O36" s="7" t="str">
        <x:v>No stock, Rx or breakage demand in 12 months</x:v>
      </x:c>
    </x:row>
    <x:row r="37" ht="20" customHeight="1">
      <x:c r="A37" s="7" t="n">
        <x:v>31</x:v>
      </x:c>
      <x:c r="B37" s="27" t="str">
        <x:f>"0217897370"</x:f>
        <x:v>0217897370</x:v>
      </x:c>
      <x:c r="C37" s="7" t="str">
        <x:v>78S 650/300</x:v>
      </x:c>
      <x:c r="D37" s="28" t="str">
        <x:v>NO-GO</x:v>
      </x:c>
      <x:c r="E37" s="7" t="str">
        <x:v>Remove</x:v>
      </x:c>
      <x:c r="F37" s="26" t="n">
        <x:v>1</x:v>
      </x:c>
      <x:c r="G37" s="26" t="n">
        <x:v>0</x:v>
      </x:c>
      <x:c r="H37" s="26" t="n">
        <x:v>1</x:v>
      </x:c>
      <x:c r="I37" s="26" t="n">
        <x:v>0</x:v>
      </x:c>
      <x:c r="J37" s="26" t="n">
        <x:v>0</x:v>
      </x:c>
      <x:c r="K37" s="26" t="n">
        <x:v>0</x:v>
      </x:c>
      <x:c r="L37" s="26" t="n">
        <x:v>0</x:v>
      </x:c>
      <x:c r="M37" s="26" t="n">
        <x:v>0</x:v>
      </x:c>
      <x:c r="N37" s="7" t="str">
        <x:v>DORMANT</x:v>
      </x:c>
      <x:c r="O37" s="7" t="str">
        <x:v>No stock, Rx or breakage demand in 12 months</x:v>
      </x:c>
    </x:row>
    <x:row r="38" ht="20" customHeight="1">
      <x:c r="A38" s="7" t="n">
        <x:v>32</x:v>
      </x:c>
      <x:c r="B38" s="27" t="str">
        <x:f>"0199232240"</x:f>
        <x:v>0199232240</x:v>
      </x:c>
      <x:c r="C38" s="7" t="str">
        <x:v>80S 450/125</x:v>
      </x:c>
      <x:c r="D38" s="28" t="str">
        <x:v>GO</x:v>
      </x:c>
      <x:c r="E38" s="7" t="str">
        <x:v>Keep draft</x:v>
      </x:c>
      <x:c r="F38" s="26" t="n">
        <x:v>2</x:v>
      </x:c>
      <x:c r="G38" s="26" t="n">
        <x:v>2</x:v>
      </x:c>
      <x:c r="H38" s="26" t="n">
        <x:v>2</x:v>
      </x:c>
      <x:c r="I38" s="26" t="n">
        <x:v>6</x:v>
      </x:c>
      <x:c r="J38" s="26" t="n">
        <x:v>5</x:v>
      </x:c>
      <x:c r="K38" s="26" t="n">
        <x:v>0</x:v>
      </x:c>
      <x:c r="L38" s="26" t="n">
        <x:v>3</x:v>
      </x:c>
      <x:c r="M38" s="26" t="n">
        <x:v>3</x:v>
      </x:c>
      <x:c r="N38" s="7" t="str">
        <x:v>ORDER NOW</x:v>
      </x:c>
      <x:c r="O38" s="7" t="str">
        <x:v>2 on hand; 3 total demand in 90d</x:v>
      </x:c>
    </x:row>
    <x:row r="39" ht="20" customHeight="1">
      <x:c r="A39" s="7" t="n">
        <x:v>33</x:v>
      </x:c>
      <x:c r="B39" s="27" t="str">
        <x:f>"0199232257"</x:f>
        <x:v>0199232257</x:v>
      </x:c>
      <x:c r="C39" s="7" t="str">
        <x:v>80S 450/125</x:v>
      </x:c>
      <x:c r="D39" s="28" t="str">
        <x:v>GO</x:v>
      </x:c>
      <x:c r="E39" s="7" t="str">
        <x:v>Keep draft</x:v>
      </x:c>
      <x:c r="F39" s="26" t="n">
        <x:v>2</x:v>
      </x:c>
      <x:c r="G39" s="26" t="n">
        <x:v>2</x:v>
      </x:c>
      <x:c r="H39" s="26" t="n">
        <x:v>2</x:v>
      </x:c>
      <x:c r="I39" s="26" t="n">
        <x:v>6</x:v>
      </x:c>
      <x:c r="J39" s="26" t="n">
        <x:v>5</x:v>
      </x:c>
      <x:c r="K39" s="26" t="n">
        <x:v>0</x:v>
      </x:c>
      <x:c r="L39" s="26" t="n">
        <x:v>3</x:v>
      </x:c>
      <x:c r="M39" s="26" t="n">
        <x:v>4</x:v>
      </x:c>
      <x:c r="N39" s="7" t="str">
        <x:v>ORDER NOW</x:v>
      </x:c>
      <x:c r="O39" s="7" t="str">
        <x:v>2 on hand; 3 total demand in 90d</x:v>
      </x:c>
    </x:row>
    <x:row r="40" ht="20" customHeight="1">
      <x:c r="A40" s="7" t="n">
        <x:v>34</x:v>
      </x:c>
      <x:c r="B40" s="27" t="str">
        <x:f>"0199232265"</x:f>
        <x:v>0199232265</x:v>
      </x:c>
      <x:c r="C40" s="7" t="str">
        <x:v>80S 450/150</x:v>
      </x:c>
      <x:c r="D40" s="28" t="str">
        <x:v>GO</x:v>
      </x:c>
      <x:c r="E40" s="7" t="str">
        <x:v>Keep draft</x:v>
      </x:c>
      <x:c r="F40" s="26" t="n">
        <x:v>2</x:v>
      </x:c>
      <x:c r="G40" s="26" t="n">
        <x:v>2</x:v>
      </x:c>
      <x:c r="H40" s="26" t="n">
        <x:v>1</x:v>
      </x:c>
      <x:c r="I40" s="26" t="n">
        <x:v>7</x:v>
      </x:c>
      <x:c r="J40" s="26" t="n">
        <x:v>7</x:v>
      </x:c>
      <x:c r="K40" s="26" t="n">
        <x:v>0</x:v>
      </x:c>
      <x:c r="L40" s="26" t="n">
        <x:v>3</x:v>
      </x:c>
      <x:c r="M40" s="26" t="n">
        <x:v>9</x:v>
      </x:c>
      <x:c r="N40" s="7" t="str">
        <x:v>ORDER NOW</x:v>
      </x:c>
      <x:c r="O40" s="7" t="str">
        <x:v>1 on hand; 3 total demand in 90d</x:v>
      </x:c>
    </x:row>
    <x:row r="41" ht="20" customHeight="1">
      <x:c r="A41" s="7" t="n">
        <x:v>35</x:v>
      </x:c>
      <x:c r="B41" s="27" t="str">
        <x:f>"0199232273"</x:f>
        <x:v>0199232273</x:v>
      </x:c>
      <x:c r="C41" s="7" t="str">
        <x:v>80S 450/150</x:v>
      </x:c>
      <x:c r="D41" s="28" t="str">
        <x:v>GO</x:v>
      </x:c>
      <x:c r="E41" s="7" t="str">
        <x:v>Keep draft</x:v>
      </x:c>
      <x:c r="F41" s="26" t="n">
        <x:v>2</x:v>
      </x:c>
      <x:c r="G41" s="26" t="n">
        <x:v>2</x:v>
      </x:c>
      <x:c r="H41" s="26" t="n">
        <x:v>1</x:v>
      </x:c>
      <x:c r="I41" s="26" t="n">
        <x:v>8</x:v>
      </x:c>
      <x:c r="J41" s="26" t="n">
        <x:v>7</x:v>
      </x:c>
      <x:c r="K41" s="26" t="n">
        <x:v>1</x:v>
      </x:c>
      <x:c r="L41" s="26" t="n">
        <x:v>3</x:v>
      </x:c>
      <x:c r="M41" s="26" t="n">
        <x:v>17</x:v>
      </x:c>
      <x:c r="N41" s="7" t="str">
        <x:v>ORDER NOW</x:v>
      </x:c>
      <x:c r="O41" s="7" t="str">
        <x:v>1 on hand; 3 total demand in 90d</x:v>
      </x:c>
    </x:row>
    <x:row r="42" ht="20" customHeight="1">
      <x:c r="A42" s="7" t="n">
        <x:v>36</x:v>
      </x:c>
      <x:c r="B42" s="27" t="str">
        <x:f>"0199232281"</x:f>
        <x:v>0199232281</x:v>
      </x:c>
      <x:c r="C42" s="7" t="str">
        <x:v>80S 450/175</x:v>
      </x:c>
      <x:c r="D42" s="28" t="str">
        <x:v>GO</x:v>
      </x:c>
      <x:c r="E42" s="7" t="str">
        <x:v>Keep draft</x:v>
      </x:c>
      <x:c r="F42" s="26" t="n">
        <x:v>2</x:v>
      </x:c>
      <x:c r="G42" s="26" t="n">
        <x:v>2</x:v>
      </x:c>
      <x:c r="H42" s="26" t="n">
        <x:v>2</x:v>
      </x:c>
      <x:c r="I42" s="26" t="n">
        <x:v>12</x:v>
      </x:c>
      <x:c r="J42" s="26" t="n">
        <x:v>6</x:v>
      </x:c>
      <x:c r="K42" s="26" t="n">
        <x:v>0</x:v>
      </x:c>
      <x:c r="L42" s="26" t="n">
        <x:v>3</x:v>
      </x:c>
      <x:c r="M42" s="26" t="n">
        <x:v>29</x:v>
      </x:c>
      <x:c r="N42" s="7" t="str">
        <x:v>NEXT CYCLE</x:v>
      </x:c>
      <x:c r="O42" s="7" t="str">
        <x:v>2 on hand; 3 total demand in 90d</x:v>
      </x:c>
    </x:row>
    <x:row r="43" ht="20" customHeight="1">
      <x:c r="A43" s="7" t="n">
        <x:v>37</x:v>
      </x:c>
      <x:c r="B43" s="27" t="str">
        <x:f>"0199232299"</x:f>
        <x:v>0199232299</x:v>
      </x:c>
      <x:c r="C43" s="7" t="str">
        <x:v>80S 450/175</x:v>
      </x:c>
      <x:c r="D43" s="28" t="str">
        <x:v>GO</x:v>
      </x:c>
      <x:c r="E43" s="7" t="str">
        <x:v>Keep draft</x:v>
      </x:c>
      <x:c r="F43" s="26" t="n">
        <x:v>2</x:v>
      </x:c>
      <x:c r="G43" s="26" t="n">
        <x:v>2</x:v>
      </x:c>
      <x:c r="H43" s="26" t="n">
        <x:v>2</x:v>
      </x:c>
      <x:c r="I43" s="26" t="n">
        <x:v>12</x:v>
      </x:c>
      <x:c r="J43" s="26" t="n">
        <x:v>6</x:v>
      </x:c>
      <x:c r="K43" s="26" t="n">
        <x:v>0</x:v>
      </x:c>
      <x:c r="L43" s="26" t="n">
        <x:v>3</x:v>
      </x:c>
      <x:c r="M43" s="26" t="n">
        <x:v>3</x:v>
      </x:c>
      <x:c r="N43" s="7" t="str">
        <x:v>NEXT CYCLE</x:v>
      </x:c>
      <x:c r="O43" s="7" t="str">
        <x:v>2 on hand; 3 total demand in 90d</x:v>
      </x:c>
    </x:row>
    <x:row r="44" ht="20" customHeight="1">
      <x:c r="A44" s="7" t="n">
        <x:v>38</x:v>
      </x:c>
      <x:c r="B44" s="27" t="str">
        <x:f>"0199232307"</x:f>
        <x:v>0199232307</x:v>
      </x:c>
      <x:c r="C44" s="7" t="str">
        <x:v>80S 450/200</x:v>
      </x:c>
      <x:c r="D44" s="28" t="str">
        <x:v>GO</x:v>
      </x:c>
      <x:c r="E44" s="7" t="str">
        <x:v>Keep draft</x:v>
      </x:c>
      <x:c r="F44" s="26" t="n">
        <x:v>3</x:v>
      </x:c>
      <x:c r="G44" s="26" t="n">
        <x:v>3</x:v>
      </x:c>
      <x:c r="H44" s="26" t="n">
        <x:v>1</x:v>
      </x:c>
      <x:c r="I44" s="26" t="n">
        <x:v>12</x:v>
      </x:c>
      <x:c r="J44" s="26" t="n">
        <x:v>7</x:v>
      </x:c>
      <x:c r="K44" s="26" t="n">
        <x:v>0</x:v>
      </x:c>
      <x:c r="L44" s="26" t="n">
        <x:v>4</x:v>
      </x:c>
      <x:c r="M44" s="26" t="n">
        <x:v>1</x:v>
      </x:c>
      <x:c r="N44" s="7" t="str">
        <x:v>ORDER NOW</x:v>
      </x:c>
      <x:c r="O44" s="7" t="str">
        <x:v>1 on hand; 4 total demand in 90d</x:v>
      </x:c>
    </x:row>
    <x:row r="45" ht="20" customHeight="1">
      <x:c r="A45" s="7" t="n">
        <x:v>39</x:v>
      </x:c>
      <x:c r="B45" s="27" t="str">
        <x:f>"0199232315"</x:f>
        <x:v>0199232315</x:v>
      </x:c>
      <x:c r="C45" s="7" t="str">
        <x:v>80S 450/200</x:v>
      </x:c>
      <x:c r="D45" s="28" t="str">
        <x:v>GO</x:v>
      </x:c>
      <x:c r="E45" s="7" t="str">
        <x:v>Keep draft</x:v>
      </x:c>
      <x:c r="F45" s="26" t="n">
        <x:v>3</x:v>
      </x:c>
      <x:c r="G45" s="26" t="n">
        <x:v>3</x:v>
      </x:c>
      <x:c r="H45" s="26" t="n">
        <x:v>1</x:v>
      </x:c>
      <x:c r="I45" s="26" t="n">
        <x:v>12</x:v>
      </x:c>
      <x:c r="J45" s="26" t="n">
        <x:v>7</x:v>
      </x:c>
      <x:c r="K45" s="26" t="n">
        <x:v>0</x:v>
      </x:c>
      <x:c r="L45" s="26" t="n">
        <x:v>4</x:v>
      </x:c>
      <x:c r="M45" s="26" t="n">
        <x:v>2</x:v>
      </x:c>
      <x:c r="N45" s="7" t="str">
        <x:v>ORDER NOW</x:v>
      </x:c>
      <x:c r="O45" s="7" t="str">
        <x:v>1 on hand; 4 total demand in 90d</x:v>
      </x:c>
    </x:row>
    <x:row r="46" ht="20" customHeight="1">
      <x:c r="A46" s="7" t="n">
        <x:v>40</x:v>
      </x:c>
      <x:c r="B46" s="27" t="str">
        <x:f>"0199232323"</x:f>
        <x:v>0199232323</x:v>
      </x:c>
      <x:c r="C46" s="7" t="str">
        <x:v>80S 450/225</x:v>
      </x:c>
      <x:c r="D46" s="28" t="str">
        <x:v>GO</x:v>
      </x:c>
      <x:c r="E46" s="7" t="str">
        <x:v>Keep draft</x:v>
      </x:c>
      <x:c r="F46" s="26" t="n">
        <x:v>3</x:v>
      </x:c>
      <x:c r="G46" s="26" t="n">
        <x:v>3</x:v>
      </x:c>
      <x:c r="H46" s="26" t="n">
        <x:v>1</x:v>
      </x:c>
      <x:c r="I46" s="26" t="n">
        <x:v>22</x:v>
      </x:c>
      <x:c r="J46" s="26" t="n">
        <x:v>13</x:v>
      </x:c>
      <x:c r="K46" s="26" t="n">
        <x:v>1</x:v>
      </x:c>
      <x:c r="L46" s="26" t="n">
        <x:v>8</x:v>
      </x:c>
      <x:c r="M46" s="26" t="n">
        <x:v>29</x:v>
      </x:c>
      <x:c r="N46" s="7" t="str">
        <x:v>ORDER NOW</x:v>
      </x:c>
      <x:c r="O46" s="7" t="str">
        <x:v>1 on hand; 8 total demand in 90d</x:v>
      </x:c>
    </x:row>
    <x:row r="47" ht="20" customHeight="1">
      <x:c r="A47" s="7" t="n">
        <x:v>41</x:v>
      </x:c>
      <x:c r="B47" s="27" t="str">
        <x:f>"0199232331"</x:f>
        <x:v>0199232331</x:v>
      </x:c>
      <x:c r="C47" s="7" t="str">
        <x:v>80S 450/225</x:v>
      </x:c>
      <x:c r="D47" s="28" t="str">
        <x:v>GO</x:v>
      </x:c>
      <x:c r="E47" s="7" t="str">
        <x:v>Keep draft</x:v>
      </x:c>
      <x:c r="F47" s="26" t="n">
        <x:v>3</x:v>
      </x:c>
      <x:c r="G47" s="26" t="n">
        <x:v>3</x:v>
      </x:c>
      <x:c r="H47" s="26" t="n">
        <x:v>0</x:v>
      </x:c>
      <x:c r="I47" s="26" t="n">
        <x:v>21</x:v>
      </x:c>
      <x:c r="J47" s="26" t="n">
        <x:v>13</x:v>
      </x:c>
      <x:c r="K47" s="26" t="n">
        <x:v>1</x:v>
      </x:c>
      <x:c r="L47" s="26" t="n">
        <x:v>7</x:v>
      </x:c>
      <x:c r="M47" s="26" t="n">
        <x:v>21</x:v>
      </x:c>
      <x:c r="N47" s="7" t="str">
        <x:v>ORDER NOW</x:v>
      </x:c>
      <x:c r="O47" s="7" t="str">
        <x:v>0 on hand; 7 total demand in 90d</x:v>
      </x:c>
    </x:row>
    <x:row r="48" ht="20" customHeight="1">
      <x:c r="A48" s="7" t="n">
        <x:v>42</x:v>
      </x:c>
      <x:c r="B48" s="27" t="str">
        <x:f>"0199232349"</x:f>
        <x:v>0199232349</x:v>
      </x:c>
      <x:c r="C48" s="7" t="str">
        <x:v>80S 450/250</x:v>
      </x:c>
      <x:c r="D48" s="28" t="str">
        <x:v>GO</x:v>
      </x:c>
      <x:c r="E48" s="7" t="str">
        <x:v>Keep draft</x:v>
      </x:c>
      <x:c r="F48" s="26" t="n">
        <x:v>6</x:v>
      </x:c>
      <x:c r="G48" s="26" t="n">
        <x:v>6</x:v>
      </x:c>
      <x:c r="H48" s="26" t="n">
        <x:v>1</x:v>
      </x:c>
      <x:c r="I48" s="26" t="n">
        <x:v>25</x:v>
      </x:c>
      <x:c r="J48" s="26" t="n">
        <x:v>12</x:v>
      </x:c>
      <x:c r="K48" s="26" t="n">
        <x:v>1</x:v>
      </x:c>
      <x:c r="L48" s="26" t="n">
        <x:v>1</x:v>
      </x:c>
      <x:c r="M48" s="26" t="n">
        <x:v>12</x:v>
      </x:c>
      <x:c r="N48" s="7" t="str">
        <x:v>ORDER NOW</x:v>
      </x:c>
      <x:c r="O48" s="7" t="str">
        <x:v>1 on hand; 1 total demand in 90d</x:v>
      </x:c>
    </x:row>
    <x:row r="49" ht="20" customHeight="1">
      <x:c r="A49" s="7" t="n">
        <x:v>43</x:v>
      </x:c>
      <x:c r="B49" s="27" t="str">
        <x:f>"0199232356"</x:f>
        <x:v>0199232356</x:v>
      </x:c>
      <x:c r="C49" s="7" t="str">
        <x:v>80S 450/250</x:v>
      </x:c>
      <x:c r="D49" s="28" t="str">
        <x:v>GO</x:v>
      </x:c>
      <x:c r="E49" s="7" t="str">
        <x:v>Keep draft</x:v>
      </x:c>
      <x:c r="F49" s="26" t="n">
        <x:v>6</x:v>
      </x:c>
      <x:c r="G49" s="26" t="n">
        <x:v>6</x:v>
      </x:c>
      <x:c r="H49" s="26" t="n">
        <x:v>1</x:v>
      </x:c>
      <x:c r="I49" s="26" t="n">
        <x:v>25</x:v>
      </x:c>
      <x:c r="J49" s="26" t="n">
        <x:v>12</x:v>
      </x:c>
      <x:c r="K49" s="26" t="n">
        <x:v>2</x:v>
      </x:c>
      <x:c r="L49" s="26" t="n">
        <x:v>1</x:v>
      </x:c>
      <x:c r="M49" s="26" t="n">
        <x:v>96</x:v>
      </x:c>
      <x:c r="N49" s="7" t="str">
        <x:v>ORDER NOW</x:v>
      </x:c>
      <x:c r="O49" s="7" t="str">
        <x:v>1 on hand; 1 total demand in 90d</x:v>
      </x:c>
    </x:row>
    <x:row r="50" ht="20" customHeight="1">
      <x:c r="A50" s="7" t="n">
        <x:v>44</x:v>
      </x:c>
      <x:c r="B50" s="27" t="str">
        <x:f>"0199232364"</x:f>
        <x:v>0199232364</x:v>
      </x:c>
      <x:c r="C50" s="7" t="str">
        <x:v>80S 450/275</x:v>
      </x:c>
      <x:c r="D50" s="28" t="str">
        <x:v>GO</x:v>
      </x:c>
      <x:c r="E50" s="7" t="str">
        <x:v>Keep draft</x:v>
      </x:c>
      <x:c r="F50" s="26" t="n">
        <x:v>4</x:v>
      </x:c>
      <x:c r="G50" s="26" t="n">
        <x:v>4</x:v>
      </x:c>
      <x:c r="H50" s="26" t="n">
        <x:v>1</x:v>
      </x:c>
      <x:c r="I50" s="26" t="n">
        <x:v>12</x:v>
      </x:c>
      <x:c r="J50" s="26" t="n">
        <x:v>7</x:v>
      </x:c>
      <x:c r="K50" s="26" t="n">
        <x:v>0</x:v>
      </x:c>
      <x:c r="L50" s="26" t="n">
        <x:v>3</x:v>
      </x:c>
      <x:c r="M50" s="26" t="n">
        <x:v>8</x:v>
      </x:c>
      <x:c r="N50" s="7" t="str">
        <x:v>ORDER NOW</x:v>
      </x:c>
      <x:c r="O50" s="7" t="str">
        <x:v>1 on hand; 3 total demand in 90d</x:v>
      </x:c>
    </x:row>
    <x:row r="51" ht="20" customHeight="1">
      <x:c r="A51" s="7" t="n">
        <x:v>45</x:v>
      </x:c>
      <x:c r="B51" s="27" t="str">
        <x:f>"0199232372"</x:f>
        <x:v>0199232372</x:v>
      </x:c>
      <x:c r="C51" s="7" t="str">
        <x:v>80S 450/275</x:v>
      </x:c>
      <x:c r="D51" s="28" t="str">
        <x:v>GO</x:v>
      </x:c>
      <x:c r="E51" s="7" t="str">
        <x:v>Keep draft</x:v>
      </x:c>
      <x:c r="F51" s="26" t="n">
        <x:v>4</x:v>
      </x:c>
      <x:c r="G51" s="26" t="n">
        <x:v>4</x:v>
      </x:c>
      <x:c r="H51" s="26" t="n">
        <x:v>1</x:v>
      </x:c>
      <x:c r="I51" s="26" t="n">
        <x:v>12</x:v>
      </x:c>
      <x:c r="J51" s="26" t="n">
        <x:v>7</x:v>
      </x:c>
      <x:c r="K51" s="26" t="n">
        <x:v>0</x:v>
      </x:c>
      <x:c r="L51" s="26" t="n">
        <x:v>3</x:v>
      </x:c>
      <x:c r="M51" s="26" t="n">
        <x:v>17</x:v>
      </x:c>
      <x:c r="N51" s="7" t="str">
        <x:v>ORDER NOW</x:v>
      </x:c>
      <x:c r="O51" s="7" t="str">
        <x:v>1 on hand; 3 total demand in 90d</x:v>
      </x:c>
    </x:row>
    <x:row r="52" ht="20" customHeight="1">
      <x:c r="A52" s="7" t="n">
        <x:v>46</x:v>
      </x:c>
      <x:c r="B52" s="27" t="str">
        <x:f>"0199232380"</x:f>
        <x:v>0199232380</x:v>
      </x:c>
      <x:c r="C52" s="7" t="str">
        <x:v>80S 450/300</x:v>
      </x:c>
      <x:c r="D52" s="28" t="str">
        <x:v>GO</x:v>
      </x:c>
      <x:c r="E52" s="7" t="str">
        <x:v>Keep draft</x:v>
      </x:c>
      <x:c r="F52" s="26" t="n">
        <x:v>2</x:v>
      </x:c>
      <x:c r="G52" s="26" t="n">
        <x:v>2</x:v>
      </x:c>
      <x:c r="H52" s="26" t="n">
        <x:v>0</x:v>
      </x:c>
      <x:c r="I52" s="26" t="n">
        <x:v>7</x:v>
      </x:c>
      <x:c r="J52" s="26" t="n">
        <x:v>2</x:v>
      </x:c>
      <x:c r="K52" s="26" t="n">
        <x:v>0</x:v>
      </x:c>
      <x:c r="L52" s="26" t="n">
        <x:v>1</x:v>
      </x:c>
      <x:c r="M52" s="26" t="n">
        <x:v>2</x:v>
      </x:c>
      <x:c r="N52" s="7" t="str">
        <x:v>ORDER NOW</x:v>
      </x:c>
      <x:c r="O52" s="7" t="str">
        <x:v>0 on hand; 1 total demand in 90d</x:v>
      </x:c>
    </x:row>
    <x:row r="53" ht="20" customHeight="1">
      <x:c r="A53" s="7" t="n">
        <x:v>47</x:v>
      </x:c>
      <x:c r="B53" s="27" t="str">
        <x:f>"0199232398"</x:f>
        <x:v>0199232398</x:v>
      </x:c>
      <x:c r="C53" s="7" t="str">
        <x:v>80S 450/300</x:v>
      </x:c>
      <x:c r="D53" s="28" t="str">
        <x:v>GO</x:v>
      </x:c>
      <x:c r="E53" s="7" t="str">
        <x:v>Keep draft</x:v>
      </x:c>
      <x:c r="F53" s="26" t="n">
        <x:v>2</x:v>
      </x:c>
      <x:c r="G53" s="26" t="n">
        <x:v>2</x:v>
      </x:c>
      <x:c r="H53" s="26" t="n">
        <x:v>0</x:v>
      </x:c>
      <x:c r="I53" s="26" t="n">
        <x:v>7</x:v>
      </x:c>
      <x:c r="J53" s="26" t="n">
        <x:v>2</x:v>
      </x:c>
      <x:c r="K53" s="26" t="n">
        <x:v>0</x:v>
      </x:c>
      <x:c r="L53" s="26" t="n">
        <x:v>1</x:v>
      </x:c>
      <x:c r="M53" s="26" t="n">
        <x:v>2</x:v>
      </x:c>
      <x:c r="N53" s="7" t="str">
        <x:v>ORDER NOW</x:v>
      </x:c>
      <x:c r="O53" s="7" t="str">
        <x:v>0 on hand; 1 total demand in 90d</x:v>
      </x:c>
    </x:row>
    <x:row r="54" ht="20" customHeight="1">
      <x:c r="A54" s="7" t="n">
        <x:v>48</x:v>
      </x:c>
      <x:c r="B54" s="27" t="str">
        <x:f>"0198932337"</x:f>
        <x:v>0198932337</x:v>
      </x:c>
      <x:c r="C54" s="7" t="str">
        <x:v>78S 200/125</x:v>
      </x:c>
      <x:c r="D54" s="28" t="str">
        <x:v>GO</x:v>
      </x:c>
      <x:c r="E54" s="7" t="str">
        <x:v>Keep draft</x:v>
      </x:c>
      <x:c r="F54" s="26" t="n">
        <x:v>1</x:v>
      </x:c>
      <x:c r="G54" s="26" t="n">
        <x:v>1</x:v>
      </x:c>
      <x:c r="H54" s="26" t="n">
        <x:v>1</x:v>
      </x:c>
      <x:c r="I54" s="26" t="n">
        <x:v>2</x:v>
      </x:c>
      <x:c r="J54" s="26" t="n">
        <x:v>0</x:v>
      </x:c>
      <x:c r="K54" s="26" t="n">
        <x:v>0</x:v>
      </x:c>
      <x:c r="L54" s="26" t="n">
        <x:v>1</x:v>
      </x:c>
      <x:c r="M54" s="26" t="n">
        <x:v>0</x:v>
      </x:c>
      <x:c r="N54" s="7" t="str">
        <x:v>NEXT CYCLE</x:v>
      </x:c>
      <x:c r="O54" s="7" t="str">
        <x:v>1 on hand; 1 total demand in 90d</x:v>
      </x:c>
    </x:row>
    <x:row r="55" ht="20" customHeight="1">
      <x:c r="A55" s="7" t="n">
        <x:v>49</x:v>
      </x:c>
      <x:c r="B55" s="27" t="str">
        <x:f>"0198932329"</x:f>
        <x:v>0198932329</x:v>
      </x:c>
      <x:c r="C55" s="7" t="str">
        <x:v>78S 200/125</x:v>
      </x:c>
      <x:c r="D55" s="28" t="str">
        <x:v>GO</x:v>
      </x:c>
      <x:c r="E55" s="7" t="str">
        <x:v>Keep draft</x:v>
      </x:c>
      <x:c r="F55" s="26" t="n">
        <x:v>1</x:v>
      </x:c>
      <x:c r="G55" s="26" t="n">
        <x:v>1</x:v>
      </x:c>
      <x:c r="H55" s="26" t="n">
        <x:v>1</x:v>
      </x:c>
      <x:c r="I55" s="26" t="n">
        <x:v>2</x:v>
      </x:c>
      <x:c r="J55" s="26" t="n">
        <x:v>0</x:v>
      </x:c>
      <x:c r="K55" s="26" t="n">
        <x:v>0</x:v>
      </x:c>
      <x:c r="L55" s="26" t="n">
        <x:v>1</x:v>
      </x:c>
      <x:c r="M55" s="26" t="n">
        <x:v>0</x:v>
      </x:c>
      <x:c r="N55" s="7" t="str">
        <x:v>NEXT CYCLE</x:v>
      </x:c>
      <x:c r="O55" s="7" t="str">
        <x:v>1 on hand; 1 total demand in 90d</x:v>
      </x:c>
    </x:row>
    <x:row r="56" ht="20" customHeight="1">
      <x:c r="A56" s="7" t="n">
        <x:v>50</x:v>
      </x:c>
      <x:c r="B56" s="27" t="str">
        <x:f>"0198932378"</x:f>
        <x:v>0198932378</x:v>
      </x:c>
      <x:c r="C56" s="7" t="str">
        <x:v>78S 200/175</x:v>
      </x:c>
      <x:c r="D56" s="28" t="str">
        <x:v>GO</x:v>
      </x:c>
      <x:c r="E56" s="7" t="str">
        <x:v>Keep draft</x:v>
      </x:c>
      <x:c r="F56" s="26" t="n">
        <x:v>2</x:v>
      </x:c>
      <x:c r="G56" s="26" t="n">
        <x:v>2</x:v>
      </x:c>
      <x:c r="H56" s="26" t="n">
        <x:v>0</x:v>
      </x:c>
      <x:c r="I56" s="26" t="n">
        <x:v>3</x:v>
      </x:c>
      <x:c r="J56" s="26" t="n">
        <x:v>0</x:v>
      </x:c>
      <x:c r="K56" s="26" t="n">
        <x:v>1</x:v>
      </x:c>
      <x:c r="L56" s="26" t="n">
        <x:v>1</x:v>
      </x:c>
      <x:c r="M56" s="26" t="n">
        <x:v>0</x:v>
      </x:c>
      <x:c r="N56" s="7" t="str">
        <x:v>ORDER NOW</x:v>
      </x:c>
      <x:c r="O56" s="7" t="str">
        <x:v>0 on hand; 1 total demand in 90d</x:v>
      </x:c>
    </x:row>
    <x:row r="57" ht="20" customHeight="1">
      <x:c r="A57" s="7" t="n">
        <x:v>51</x:v>
      </x:c>
      <x:c r="B57" s="27" t="str">
        <x:f>"0198932360"</x:f>
        <x:v>0198932360</x:v>
      </x:c>
      <x:c r="C57" s="7" t="str">
        <x:v>78S 200/175</x:v>
      </x:c>
      <x:c r="D57" s="28" t="str">
        <x:v>GO</x:v>
      </x:c>
      <x:c r="E57" s="7" t="str">
        <x:v>Keep draft</x:v>
      </x:c>
      <x:c r="F57" s="26" t="n">
        <x:v>2</x:v>
      </x:c>
      <x:c r="G57" s="26" t="n">
        <x:v>2</x:v>
      </x:c>
      <x:c r="H57" s="26" t="n">
        <x:v>0</x:v>
      </x:c>
      <x:c r="I57" s="26" t="n">
        <x:v>3</x:v>
      </x:c>
      <x:c r="J57" s="26" t="n">
        <x:v>0</x:v>
      </x:c>
      <x:c r="K57" s="26" t="n">
        <x:v>0</x:v>
      </x:c>
      <x:c r="L57" s="26" t="n">
        <x:v>1</x:v>
      </x:c>
      <x:c r="M57" s="26" t="n">
        <x:v>0</x:v>
      </x:c>
      <x:c r="N57" s="7" t="str">
        <x:v>ORDER NOW</x:v>
      </x:c>
      <x:c r="O57" s="7" t="str">
        <x:v>0 on hand; 1 total demand in 90d</x:v>
      </x:c>
    </x:row>
    <x:row r="58" ht="20" customHeight="1">
      <x:c r="A58" s="7" t="n">
        <x:v>52</x:v>
      </x:c>
      <x:c r="B58" s="27" t="str">
        <x:f>"0198932618"</x:f>
        <x:v>0198932618</x:v>
      </x:c>
      <x:c r="C58" s="7" t="str">
        <x:v>78S 300/175</x:v>
      </x:c>
      <x:c r="D58" s="28" t="str">
        <x:v>NO-GO</x:v>
      </x:c>
      <x:c r="E58" s="7" t="str">
        <x:v>Reduce</x:v>
      </x:c>
      <x:c r="F58" s="26" t="n">
        <x:v>2</x:v>
      </x:c>
      <x:c r="G58" s="26" t="n">
        <x:v>1</x:v>
      </x:c>
      <x:c r="H58" s="26" t="n">
        <x:v>1</x:v>
      </x:c>
      <x:c r="I58" s="26" t="n">
        <x:v>4</x:v>
      </x:c>
      <x:c r="J58" s="26" t="n">
        <x:v>0</x:v>
      </x:c>
      <x:c r="K58" s="26" t="n">
        <x:v>0</x:v>
      </x:c>
      <x:c r="L58" s="26" t="n">
        <x:v>1</x:v>
      </x:c>
      <x:c r="M58" s="26" t="n">
        <x:v>0</x:v>
      </x:c>
      <x:c r="N58" s="7" t="str">
        <x:v>NEXT CYCLE</x:v>
      </x:c>
      <x:c r="O58" s="7" t="str">
        <x:v>1 on hand; 1 total demand in 90d</x:v>
      </x:c>
    </x:row>
    <x:row r="59" ht="20" customHeight="1">
      <x:c r="A59" s="7" t="n">
        <x:v>53</x:v>
      </x:c>
      <x:c r="B59" s="27" t="str">
        <x:f>"0198932600"</x:f>
        <x:v>0198932600</x:v>
      </x:c>
      <x:c r="C59" s="7" t="str">
        <x:v>78S 300/175</x:v>
      </x:c>
      <x:c r="D59" s="28" t="str">
        <x:v>GO</x:v>
      </x:c>
      <x:c r="E59" s="7" t="str">
        <x:v>Keep draft</x:v>
      </x:c>
      <x:c r="F59" s="26" t="n">
        <x:v>1</x:v>
      </x:c>
      <x:c r="G59" s="26" t="n">
        <x:v>1</x:v>
      </x:c>
      <x:c r="H59" s="26" t="n">
        <x:v>0</x:v>
      </x:c>
      <x:c r="I59" s="26" t="n">
        <x:v>5</x:v>
      </x:c>
      <x:c r="J59" s="26" t="n">
        <x:v>0</x:v>
      </x:c>
      <x:c r="K59" s="26" t="n">
        <x:v>0</x:v>
      </x:c>
      <x:c r="L59" s="26" t="n">
        <x:v>2</x:v>
      </x:c>
      <x:c r="M59" s="26" t="n">
        <x:v>0</x:v>
      </x:c>
      <x:c r="N59" s="7" t="str">
        <x:v>ORDER NOW</x:v>
      </x:c>
      <x:c r="O59" s="7" t="str">
        <x:v>0 on hand; 2 total demand in 90d</x:v>
      </x:c>
    </x:row>
    <x:row r="60" ht="20" customHeight="1">
      <x:c r="A60" s="7" t="n">
        <x:v>54</x:v>
      </x:c>
      <x:c r="B60" s="27" t="str">
        <x:f>"0198932675"</x:f>
        <x:v>0198932675</x:v>
      </x:c>
      <x:c r="C60" s="7" t="str">
        <x:v>78S 300/250</x:v>
      </x:c>
      <x:c r="D60" s="28" t="str">
        <x:v>GO</x:v>
      </x:c>
      <x:c r="E60" s="7" t="str">
        <x:v>Keep draft</x:v>
      </x:c>
      <x:c r="F60" s="26" t="n">
        <x:v>1</x:v>
      </x:c>
      <x:c r="G60" s="26" t="n">
        <x:v>1</x:v>
      </x:c>
      <x:c r="H60" s="26" t="n">
        <x:v>1</x:v>
      </x:c>
      <x:c r="I60" s="26" t="n">
        <x:v>2</x:v>
      </x:c>
      <x:c r="J60" s="26" t="n">
        <x:v>3</x:v>
      </x:c>
      <x:c r="K60" s="26" t="n">
        <x:v>1</x:v>
      </x:c>
      <x:c r="L60" s="26" t="n">
        <x:v>2</x:v>
      </x:c>
      <x:c r="M60" s="26" t="n">
        <x:v>0</x:v>
      </x:c>
      <x:c r="N60" s="7" t="str">
        <x:v>ORDER NOW</x:v>
      </x:c>
      <x:c r="O60" s="7" t="str">
        <x:v>1 on hand; 2 total demand in 90d</x:v>
      </x:c>
    </x:row>
    <x:row r="61" ht="20" customHeight="1">
      <x:c r="A61" s="7" t="n">
        <x:v>55</x:v>
      </x:c>
      <x:c r="B61" s="27" t="str">
        <x:f>"0198932667"</x:f>
        <x:v>0198932667</x:v>
      </x:c>
      <x:c r="C61" s="7" t="str">
        <x:v>78S 300/250</x:v>
      </x:c>
      <x:c r="D61" s="28" t="str">
        <x:v>GO</x:v>
      </x:c>
      <x:c r="E61" s="7" t="str">
        <x:v>Keep draft</x:v>
      </x:c>
      <x:c r="F61" s="26" t="n">
        <x:v>1</x:v>
      </x:c>
      <x:c r="G61" s="26" t="n">
        <x:v>1</x:v>
      </x:c>
      <x:c r="H61" s="26" t="n">
        <x:v>1</x:v>
      </x:c>
      <x:c r="I61" s="26" t="n">
        <x:v>2</x:v>
      </x:c>
      <x:c r="J61" s="26" t="n">
        <x:v>3</x:v>
      </x:c>
      <x:c r="K61" s="26" t="n">
        <x:v>1</x:v>
      </x:c>
      <x:c r="L61" s="26" t="n">
        <x:v>2</x:v>
      </x:c>
      <x:c r="M61" s="26" t="n">
        <x:v>0</x:v>
      </x:c>
      <x:c r="N61" s="7" t="str">
        <x:v>ORDER NOW</x:v>
      </x:c>
      <x:c r="O61" s="7" t="str">
        <x:v>1 on hand; 2 total demand in 90d</x:v>
      </x:c>
    </x:row>
    <x:row r="62" ht="20" customHeight="1">
      <x:c r="A62" s="7" t="n">
        <x:v>56</x:v>
      </x:c>
      <x:c r="B62" s="27" t="str">
        <x:f>"0198932691"</x:f>
        <x:v>0198932691</x:v>
      </x:c>
      <x:c r="C62" s="7" t="str">
        <x:v>78S 300/275</x:v>
      </x:c>
      <x:c r="D62" s="28" t="str">
        <x:v>GO</x:v>
      </x:c>
      <x:c r="E62" s="7" t="str">
        <x:v>Keep draft</x:v>
      </x:c>
      <x:c r="F62" s="26" t="n">
        <x:v>1</x:v>
      </x:c>
      <x:c r="G62" s="26" t="n">
        <x:v>1</x:v>
      </x:c>
      <x:c r="H62" s="26" t="n">
        <x:v>1</x:v>
      </x:c>
      <x:c r="I62" s="26" t="n">
        <x:v>0</x:v>
      </x:c>
      <x:c r="J62" s="26" t="n">
        <x:v>1</x:v>
      </x:c>
      <x:c r="K62" s="26" t="n">
        <x:v>0</x:v>
      </x:c>
      <x:c r="L62" s="26" t="n">
        <x:v>1</x:v>
      </x:c>
      <x:c r="M62" s="26" t="n">
        <x:v>0</x:v>
      </x:c>
      <x:c r="N62" s="7" t="str">
        <x:v>NEXT CYCLE</x:v>
      </x:c>
      <x:c r="O62" s="7" t="str">
        <x:v>1 on hand; 1 total demand in 90d</x:v>
      </x:c>
    </x:row>
    <x:row r="63" ht="20" customHeight="1">
      <x:c r="A63" s="7" t="n">
        <x:v>57</x:v>
      </x:c>
      <x:c r="B63" s="27" t="str">
        <x:f>"0198932683"</x:f>
        <x:v>0198932683</x:v>
      </x:c>
      <x:c r="C63" s="7" t="str">
        <x:v>78S 300/275</x:v>
      </x:c>
      <x:c r="D63" s="28" t="str">
        <x:v>GO</x:v>
      </x:c>
      <x:c r="E63" s="7" t="str">
        <x:v>Keep draft</x:v>
      </x:c>
      <x:c r="F63" s="26" t="n">
        <x:v>1</x:v>
      </x:c>
      <x:c r="G63" s="26" t="n">
        <x:v>1</x:v>
      </x:c>
      <x:c r="H63" s="26" t="n">
        <x:v>1</x:v>
      </x:c>
      <x:c r="I63" s="26" t="n">
        <x:v>0</x:v>
      </x:c>
      <x:c r="J63" s="26" t="n">
        <x:v>1</x:v>
      </x:c>
      <x:c r="K63" s="26" t="n">
        <x:v>0</x:v>
      </x:c>
      <x:c r="L63" s="26" t="n">
        <x:v>1</x:v>
      </x:c>
      <x:c r="M63" s="26" t="n">
        <x:v>0</x:v>
      </x:c>
      <x:c r="N63" s="7" t="str">
        <x:v>NEXT CYCLE</x:v>
      </x:c>
      <x:c r="O63" s="7" t="str">
        <x:v>1 on hand; 1 total demand in 90d</x:v>
      </x:c>
    </x:row>
    <x:row r="64" ht="20" customHeight="1">
      <x:c r="A64" s="7" t="n">
        <x:v>58</x:v>
      </x:c>
      <x:c r="B64" s="27" t="str">
        <x:f>"0199627639"</x:f>
        <x:v>0199627639</x:v>
      </x:c>
      <x:c r="C64" s="7" t="str">
        <x:v>78S 450/275</x:v>
      </x:c>
      <x:c r="D64" s="28" t="str">
        <x:v>GO</x:v>
      </x:c>
      <x:c r="E64" s="7" t="str">
        <x:v>Keep draft</x:v>
      </x:c>
      <x:c r="F64" s="26" t="n">
        <x:v>1</x:v>
      </x:c>
      <x:c r="G64" s="26" t="n">
        <x:v>1</x:v>
      </x:c>
      <x:c r="H64" s="26" t="n">
        <x:v>1</x:v>
      </x:c>
      <x:c r="I64" s="26" t="n">
        <x:v>1</x:v>
      </x:c>
      <x:c r="J64" s="26" t="n">
        <x:v>2</x:v>
      </x:c>
      <x:c r="K64" s="26" t="n">
        <x:v>0</x:v>
      </x:c>
      <x:c r="L64" s="26" t="n">
        <x:v>0</x:v>
      </x:c>
      <x:c r="M64" s="26" t="n">
        <x:v>0</x:v>
      </x:c>
      <x:c r="N64" s="7" t="str">
        <x:v>NEXT CYCLE</x:v>
      </x:c>
      <x:c r="O64" s="7" t="str">
        <x:v>1 on hand; 0 total demand in 90d</x:v>
      </x:c>
    </x:row>
    <x:row r="65" ht="20" customHeight="1">
      <x:c r="A65" s="7" t="n">
        <x:v>59</x:v>
      </x:c>
      <x:c r="B65" s="27" t="str">
        <x:f>"0199627647"</x:f>
        <x:v>0199627647</x:v>
      </x:c>
      <x:c r="C65" s="7" t="str">
        <x:v>78S 450/275</x:v>
      </x:c>
      <x:c r="D65" s="28" t="str">
        <x:v>GO</x:v>
      </x:c>
      <x:c r="E65" s="7" t="str">
        <x:v>Keep draft</x:v>
      </x:c>
      <x:c r="F65" s="26" t="n">
        <x:v>1</x:v>
      </x:c>
      <x:c r="G65" s="26" t="n">
        <x:v>1</x:v>
      </x:c>
      <x:c r="H65" s="26" t="n">
        <x:v>1</x:v>
      </x:c>
      <x:c r="I65" s="26" t="n">
        <x:v>1</x:v>
      </x:c>
      <x:c r="J65" s="26" t="n">
        <x:v>2</x:v>
      </x:c>
      <x:c r="K65" s="26" t="n">
        <x:v>0</x:v>
      </x:c>
      <x:c r="L65" s="26" t="n">
        <x:v>0</x:v>
      </x:c>
      <x:c r="M65" s="26" t="n">
        <x:v>0</x:v>
      </x:c>
      <x:c r="N65" s="7" t="str">
        <x:v>NEXT CYCLE</x:v>
      </x:c>
      <x:c r="O65" s="7" t="str">
        <x:v>1 on hand; 0 total demand in 90d</x:v>
      </x:c>
    </x:row>
    <x:row r="66" ht="20" customHeight="1">
      <x:c r="A66" s="7" t="n">
        <x:v>60</x:v>
      </x:c>
      <x:c r="B66" s="27" t="str">
        <x:f>"0406245076"</x:f>
        <x:v>0406245076</x:v>
      </x:c>
      <x:c r="C66" s="7" t="str">
        <x:v>76S 425</x:v>
      </x:c>
      <x:c r="D66" s="28" t="str">
        <x:v>NO-GO</x:v>
      </x:c>
      <x:c r="E66" s="7" t="str">
        <x:v>Reduce</x:v>
      </x:c>
      <x:c r="F66" s="26" t="n">
        <x:v>2</x:v>
      </x:c>
      <x:c r="G66" s="26" t="n">
        <x:v>1</x:v>
      </x:c>
      <x:c r="H66" s="26" t="n">
        <x:v>2</x:v>
      </x:c>
      <x:c r="I66" s="26" t="n">
        <x:v>2</x:v>
      </x:c>
      <x:c r="J66" s="26" t="n">
        <x:v>0</x:v>
      </x:c>
      <x:c r="K66" s="26" t="n">
        <x:v>0</x:v>
      </x:c>
      <x:c r="L66" s="26" t="n">
        <x:v>2</x:v>
      </x:c>
      <x:c r="M66" s="26" t="n">
        <x:v>0</x:v>
      </x:c>
      <x:c r="N66" s="7" t="str">
        <x:v>NEXT CYCLE</x:v>
      </x:c>
      <x:c r="O66" s="7" t="str">
        <x:v>2 on hand; 2 total demand in 90d</x:v>
      </x:c>
    </x:row>
    <x:row r="67" ht="20" customHeight="1">
      <x:c r="A67" s="7" t="n">
        <x:v>61</x:v>
      </x:c>
      <x:c r="B67" s="27" t="str">
        <x:f>"0406239624"</x:f>
        <x:v>0406239624</x:v>
      </x:c>
      <x:c r="C67" s="7" t="str">
        <x:v>76S 425</x:v>
      </x:c>
      <x:c r="D67" s="28" t="str">
        <x:v>NO-GO</x:v>
      </x:c>
      <x:c r="E67" s="7" t="str">
        <x:v>Remove</x:v>
      </x:c>
      <x:c r="F67" s="26" t="n">
        <x:v>2</x:v>
      </x:c>
      <x:c r="G67" s="26" t="n">
        <x:v>0</x:v>
      </x:c>
      <x:c r="H67" s="26" t="n">
        <x:v>2</x:v>
      </x:c>
      <x:c r="I67" s="26" t="n">
        <x:v>2</x:v>
      </x:c>
      <x:c r="J67" s="26" t="n">
        <x:v>0</x:v>
      </x:c>
      <x:c r="K67" s="26" t="n">
        <x:v>0</x:v>
      </x:c>
      <x:c r="L67" s="26" t="n">
        <x:v>0</x:v>
      </x:c>
      <x:c r="M67" s="26" t="n">
        <x:v>2</x:v>
      </x:c>
      <x:c r="N67" s="7" t="str">
        <x:v>COVERED</x:v>
      </x:c>
      <x:c r="O67" s="7" t="str">
        <x:v>2 on hand covers 2-lens target</x:v>
      </x:c>
    </x:row>
    <x:row r="68" ht="20" customHeight="1">
      <x:c r="A68" s="7" t="n">
        <x:v>62</x:v>
      </x:c>
      <x:c r="B68" s="27" t="str">
        <x:f>"0058399882"</x:f>
        <x:v>0058399882</x:v>
      </x:c>
      <x:c r="C68" s="7" t="str">
        <x:v>76S 425</x:v>
      </x:c>
      <x:c r="D68" s="28" t="str">
        <x:v>GO</x:v>
      </x:c>
      <x:c r="E68" s="7" t="str">
        <x:v>Keep draft</x:v>
      </x:c>
      <x:c r="F68" s="26" t="n">
        <x:v>32</x:v>
      </x:c>
      <x:c r="G68" s="26" t="n">
        <x:v>32</x:v>
      </x:c>
      <x:c r="H68" s="26" t="n">
        <x:v>4</x:v>
      </x:c>
      <x:c r="I68" s="26" t="n">
        <x:v>49</x:v>
      </x:c>
      <x:c r="J68" s="26" t="n">
        <x:v>64</x:v>
      </x:c>
      <x:c r="K68" s="26" t="n">
        <x:v>3</x:v>
      </x:c>
      <x:c r="L68" s="26" t="n">
        <x:v>28</x:v>
      </x:c>
      <x:c r="M68" s="26" t="n">
        <x:v>0</x:v>
      </x:c>
      <x:c r="N68" s="7" t="str">
        <x:v>ORDER NOW</x:v>
      </x:c>
      <x:c r="O68" s="7" t="str">
        <x:v>4 on hand; 28 total demand in 90d</x:v>
      </x:c>
    </x:row>
    <x:row r="69" ht="20" customHeight="1">
      <x:c r="A69" s="7" t="n">
        <x:v>63</x:v>
      </x:c>
      <x:c r="B69" s="27" t="str">
        <x:f>"0058399874"</x:f>
        <x:v>0058399874</x:v>
      </x:c>
      <x:c r="C69" s="7" t="str">
        <x:v>76S 525</x:v>
      </x:c>
      <x:c r="D69" s="28" t="str">
        <x:v>GO</x:v>
      </x:c>
      <x:c r="E69" s="7" t="str">
        <x:v>Keep draft</x:v>
      </x:c>
      <x:c r="F69" s="26" t="n">
        <x:v>20</x:v>
      </x:c>
      <x:c r="G69" s="26" t="n">
        <x:v>20</x:v>
      </x:c>
      <x:c r="H69" s="26" t="n">
        <x:v>0</x:v>
      </x:c>
      <x:c r="I69" s="26" t="n">
        <x:v>17</x:v>
      </x:c>
      <x:c r="J69" s="26" t="n">
        <x:v>60</x:v>
      </x:c>
      <x:c r="K69" s="26" t="n">
        <x:v>0</x:v>
      </x:c>
      <x:c r="L69" s="26" t="n">
        <x:v>28</x:v>
      </x:c>
      <x:c r="M69" s="26" t="n">
        <x:v>6</x:v>
      </x:c>
      <x:c r="N69" s="7" t="str">
        <x:v>ORDER NOW</x:v>
      </x:c>
      <x:c r="O69" s="7" t="str">
        <x:v>0 on hand; 28 total demand in 90d</x:v>
      </x:c>
    </x:row>
    <x:row r="70" ht="20" customHeight="1">
      <x:c r="A70" s="7" t="n">
        <x:v>64</x:v>
      </x:c>
      <x:c r="B70" s="27" t="str">
        <x:f>"0058000076"</x:f>
        <x:v>0058000076</x:v>
      </x:c>
      <x:c r="C70" s="7" t="str">
        <x:v>79S 425</x:v>
      </x:c>
      <x:c r="D70" s="28" t="str">
        <x:v>NO-GO</x:v>
      </x:c>
      <x:c r="E70" s="7" t="str">
        <x:v>Reduce</x:v>
      </x:c>
      <x:c r="F70" s="26" t="n">
        <x:v>2</x:v>
      </x:c>
      <x:c r="G70" s="26" t="n">
        <x:v>1</x:v>
      </x:c>
      <x:c r="H70" s="26" t="n">
        <x:v>2</x:v>
      </x:c>
      <x:c r="I70" s="26" t="n">
        <x:v>7</x:v>
      </x:c>
      <x:c r="J70" s="26" t="n">
        <x:v>0</x:v>
      </x:c>
      <x:c r="K70" s="26" t="n">
        <x:v>0</x:v>
      </x:c>
      <x:c r="L70" s="26" t="n">
        <x:v>2</x:v>
      </x:c>
      <x:c r="M70" s="26" t="n">
        <x:v>0</x:v>
      </x:c>
      <x:c r="N70" s="7" t="str">
        <x:v>NEXT CYCLE</x:v>
      </x:c>
      <x:c r="O70" s="7" t="str">
        <x:v>2 on hand; 2 total demand in 90d</x:v>
      </x:c>
    </x:row>
    <x:row r="71" ht="20" customHeight="1">
      <x:c r="A71" s="7" t="n">
        <x:v>65</x:v>
      </x:c>
      <x:c r="B71" s="27" t="str">
        <x:f>"0034804898"</x:f>
        <x:v>0034804898</x:v>
      </x:c>
      <x:c r="C71" s="7" t="str">
        <x:v>76S 200</x:v>
      </x:c>
      <x:c r="D71" s="28" t="str">
        <x:v>NO-GO</x:v>
      </x:c>
      <x:c r="E71" s="7" t="str">
        <x:v>Remove</x:v>
      </x:c>
      <x:c r="F71" s="26" t="n">
        <x:v>1</x:v>
      </x:c>
      <x:c r="G71" s="26" t="n">
        <x:v>0</x:v>
      </x:c>
      <x:c r="H71" s="26" t="n">
        <x:v>10</x:v>
      </x:c>
      <x:c r="I71" s="26" t="n">
        <x:v>9</x:v>
      </x:c>
      <x:c r="J71" s="26" t="n">
        <x:v>2</x:v>
      </x:c>
      <x:c r="K71" s="26" t="n">
        <x:v>0</x:v>
      </x:c>
      <x:c r="L71" s="26" t="n">
        <x:v>3</x:v>
      </x:c>
      <x:c r="M71" s="26" t="n">
        <x:v>0</x:v>
      </x:c>
      <x:c r="N71" s="7" t="str">
        <x:v>COVERED</x:v>
      </x:c>
      <x:c r="O71" s="7" t="str">
        <x:v>10 on hand covers 3-lens target</x:v>
      </x:c>
    </x:row>
    <x:row r="72" ht="20" customHeight="1">
      <x:c r="A72" s="7" t="n">
        <x:v>66</x:v>
      </x:c>
      <x:c r="B72" s="27" t="str">
        <x:f>"0034804914"</x:f>
        <x:v>0034804914</x:v>
      </x:c>
      <x:c r="C72" s="7" t="str">
        <x:v>76S 425</x:v>
      </x:c>
      <x:c r="D72" s="28" t="str">
        <x:v>GO</x:v>
      </x:c>
      <x:c r="E72" s="7" t="str">
        <x:v>Keep draft</x:v>
      </x:c>
      <x:c r="F72" s="26" t="n">
        <x:v>84</x:v>
      </x:c>
      <x:c r="G72" s="26" t="n">
        <x:v>84</x:v>
      </x:c>
      <x:c r="H72" s="26" t="n">
        <x:v>16</x:v>
      </x:c>
      <x:c r="I72" s="26" t="n">
        <x:v>95</x:v>
      </x:c>
      <x:c r="J72" s="26" t="n">
        <x:v>530</x:v>
      </x:c>
      <x:c r="K72" s="26" t="n">
        <x:v>0</x:v>
      </x:c>
      <x:c r="L72" s="26" t="n">
        <x:v>173</x:v>
      </x:c>
      <x:c r="M72" s="26" t="n">
        <x:v>0</x:v>
      </x:c>
      <x:c r="N72" s="7" t="str">
        <x:v>ORDER NOW</x:v>
      </x:c>
      <x:c r="O72" s="7" t="str">
        <x:v>16 on hand; 173 total demand in 90d</x:v>
      </x:c>
    </x:row>
    <x:row r="73" ht="20" customHeight="1">
      <x:c r="A73" s="7" t="n">
        <x:v>67</x:v>
      </x:c>
      <x:c r="B73" s="27" t="str">
        <x:f>"0304085012"</x:f>
        <x:v>0304085012</x:v>
      </x:c>
      <x:c r="C73" s="7" t="str">
        <x:v>78S 425/125</x:v>
      </x:c>
      <x:c r="D73" s="28" t="str">
        <x:v>NO-GO</x:v>
      </x:c>
      <x:c r="E73" s="7" t="str">
        <x:v>Remove</x:v>
      </x:c>
      <x:c r="F73" s="26" t="n">
        <x:v>2</x:v>
      </x:c>
      <x:c r="G73" s="26" t="n">
        <x:v>0</x:v>
      </x:c>
      <x:c r="H73" s="26" t="n">
        <x:v>2</x:v>
      </x:c>
      <x:c r="I73" s="26" t="n">
        <x:v>0</x:v>
      </x:c>
      <x:c r="J73" s="26" t="n">
        <x:v>0</x:v>
      </x:c>
      <x:c r="K73" s="26" t="n">
        <x:v>0</x:v>
      </x:c>
      <x:c r="L73" s="26" t="n">
        <x:v>0</x:v>
      </x:c>
      <x:c r="M73" s="26" t="n">
        <x:v>2</x:v>
      </x:c>
      <x:c r="N73" s="7" t="str">
        <x:v>DORMANT</x:v>
      </x:c>
      <x:c r="O73" s="7" t="str">
        <x:v>No stock, Rx or breakage demand in 12 months</x:v>
      </x:c>
    </x:row>
    <x:row r="74" ht="20" customHeight="1">
      <x:c r="A74" s="7" t="n">
        <x:v>68</x:v>
      </x:c>
      <x:c r="B74" s="27" t="str">
        <x:f>"0304085079"</x:f>
        <x:v>0304085079</x:v>
      </x:c>
      <x:c r="C74" s="7" t="str">
        <x:v>78S 425/275</x:v>
      </x:c>
      <x:c r="D74" s="28" t="str">
        <x:v>NO-GO</x:v>
      </x:c>
      <x:c r="E74" s="7" t="str">
        <x:v>Remove</x:v>
      </x:c>
      <x:c r="F74" s="26" t="n">
        <x:v>2</x:v>
      </x:c>
      <x:c r="G74" s="26" t="n">
        <x:v>0</x:v>
      </x:c>
      <x:c r="H74" s="26" t="n">
        <x:v>2</x:v>
      </x:c>
      <x:c r="I74" s="26" t="n">
        <x:v>0</x:v>
      </x:c>
      <x:c r="J74" s="26" t="n">
        <x:v>0</x:v>
      </x:c>
      <x:c r="K74" s="26" t="n">
        <x:v>0</x:v>
      </x:c>
      <x:c r="L74" s="26" t="n">
        <x:v>0</x:v>
      </x:c>
      <x:c r="M74" s="26" t="n">
        <x:v>28</x:v>
      </x:c>
      <x:c r="N74" s="7" t="str">
        <x:v>DORMANT</x:v>
      </x:c>
      <x:c r="O74" s="7" t="str">
        <x:v>No stock, Rx or breakage demand in 12 months</x:v>
      </x:c>
    </x:row>
    <x:row r="75" ht="20" customHeight="1">
      <x:c r="A75" s="7" t="n">
        <x:v>69</x:v>
      </x:c>
      <x:c r="B75" s="27" t="str">
        <x:f>"0214732141"</x:f>
        <x:v>0214732141</x:v>
      </x:c>
      <x:c r="C75" s="7" t="str">
        <x:v>80S 100</x:v>
      </x:c>
      <x:c r="D75" s="28" t="str">
        <x:v>NO-GO</x:v>
      </x:c>
      <x:c r="E75" s="7" t="str">
        <x:v>Reduce</x:v>
      </x:c>
      <x:c r="F75" s="26" t="n">
        <x:v>6</x:v>
      </x:c>
      <x:c r="G75" s="26" t="n">
        <x:v>1</x:v>
      </x:c>
      <x:c r="H75" s="26" t="n">
        <x:v>8</x:v>
      </x:c>
      <x:c r="I75" s="26" t="n">
        <x:v>17</x:v>
      </x:c>
      <x:c r="J75" s="26" t="n">
        <x:v>6</x:v>
      </x:c>
      <x:c r="K75" s="26" t="n">
        <x:v>1</x:v>
      </x:c>
      <x:c r="L75" s="26" t="n">
        <x:v>10</x:v>
      </x:c>
      <x:c r="M75" s="26" t="n">
        <x:v>1</x:v>
      </x:c>
      <x:c r="N75" s="7" t="str">
        <x:v>NEXT CYCLE</x:v>
      </x:c>
      <x:c r="O75" s="7" t="str">
        <x:v>8 on hand; 10 total demand in 90d</x:v>
      </x:c>
    </x:row>
    <x:row r="76" ht="20" customHeight="1">
      <x:c r="A76" s="7" t="n">
        <x:v>70</x:v>
      </x:c>
      <x:c r="B76" s="27" t="str">
        <x:f>"0214732166"</x:f>
        <x:v>0214732166</x:v>
      </x:c>
      <x:c r="C76" s="7" t="str">
        <x:v>80S 200</x:v>
      </x:c>
      <x:c r="D76" s="28" t="str">
        <x:v>GO</x:v>
      </x:c>
      <x:c r="E76" s="7" t="str">
        <x:v>Keep draft</x:v>
      </x:c>
      <x:c r="F76" s="26" t="n">
        <x:v>2</x:v>
      </x:c>
      <x:c r="G76" s="26" t="n">
        <x:v>2</x:v>
      </x:c>
      <x:c r="H76" s="26" t="n">
        <x:v>9</x:v>
      </x:c>
      <x:c r="I76" s="26" t="n">
        <x:v>34</x:v>
      </x:c>
      <x:c r="J76" s="26" t="n">
        <x:v>48</x:v>
      </x:c>
      <x:c r="K76" s="26" t="n">
        <x:v>1</x:v>
      </x:c>
      <x:c r="L76" s="26" t="n">
        <x:v>15</x:v>
      </x:c>
      <x:c r="M76" s="26" t="n">
        <x:v>0</x:v>
      </x:c>
      <x:c r="N76" s="7" t="str">
        <x:v>NEXT CYCLE</x:v>
      </x:c>
      <x:c r="O76" s="7" t="str">
        <x:v>9 on hand; 15 total demand in 90d</x:v>
      </x:c>
    </x:row>
    <x:row r="77" ht="20" customHeight="1">
      <x:c r="A77" s="7" t="n">
        <x:v>71</x:v>
      </x:c>
      <x:c r="B77" s="27" t="str">
        <x:f>"0214732182"</x:f>
        <x:v>0214732182</x:v>
      </x:c>
      <x:c r="C77" s="7" t="str">
        <x:v>80S 300</x:v>
      </x:c>
      <x:c r="D77" s="28" t="str">
        <x:v>NO-GO</x:v>
      </x:c>
      <x:c r="E77" s="7" t="str">
        <x:v>Reduce</x:v>
      </x:c>
      <x:c r="F77" s="26" t="n">
        <x:v>18</x:v>
      </x:c>
      <x:c r="G77" s="26" t="n">
        <x:v>11</x:v>
      </x:c>
      <x:c r="H77" s="26" t="n">
        <x:v>6</x:v>
      </x:c>
      <x:c r="I77" s="26" t="n">
        <x:v>32</x:v>
      </x:c>
      <x:c r="J77" s="26" t="n">
        <x:v>44</x:v>
      </x:c>
      <x:c r="K77" s="26" t="n">
        <x:v>7</x:v>
      </x:c>
      <x:c r="L77" s="26" t="n">
        <x:v>22</x:v>
      </x:c>
      <x:c r="M77" s="26" t="n">
        <x:v>0</x:v>
      </x:c>
      <x:c r="N77" s="7" t="str">
        <x:v>ORDER NOW</x:v>
      </x:c>
      <x:c r="O77" s="7" t="str">
        <x:v>6 on hand; 22 total demand in 90d</x:v>
      </x:c>
    </x:row>
    <x:row r="78" ht="20" customHeight="1">
      <x:c r="A78" s="7" t="n">
        <x:v>72</x:v>
      </x:c>
      <x:c r="B78" s="27" t="str">
        <x:f>"0263508947"</x:f>
        <x:v>0263508947</x:v>
      </x:c>
      <x:c r="C78" s="7" t="str">
        <x:v>80S 275</x:v>
      </x:c>
      <x:c r="D78" s="28" t="str">
        <x:v>GO</x:v>
      </x:c>
      <x:c r="E78" s="7" t="str">
        <x:v>Keep draft</x:v>
      </x:c>
      <x:c r="F78" s="26" t="n">
        <x:v>1</x:v>
      </x:c>
      <x:c r="G78" s="26" t="n">
        <x:v>1</x:v>
      </x:c>
      <x:c r="H78" s="26" t="n">
        <x:v>5</x:v>
      </x:c>
      <x:c r="I78" s="26" t="n">
        <x:v>12</x:v>
      </x:c>
      <x:c r="J78" s="26" t="n">
        <x:v>3</x:v>
      </x:c>
      <x:c r="K78" s="26" t="n">
        <x:v>0</x:v>
      </x:c>
      <x:c r="L78" s="26" t="n">
        <x:v>9</x:v>
      </x:c>
      <x:c r="M78" s="26" t="n">
        <x:v>0</x:v>
      </x:c>
      <x:c r="N78" s="7" t="str">
        <x:v>NEXT CYCLE</x:v>
      </x:c>
      <x:c r="O78" s="7" t="str">
        <x:v>5 on hand; 9 total demand in 90d</x:v>
      </x:c>
    </x:row>
    <x:row r="79" ht="20" customHeight="1">
      <x:c r="A79" s="7" t="n">
        <x:v>73</x:v>
      </x:c>
      <x:c r="B79" s="27" t="str">
        <x:f>"0054485404"</x:f>
        <x:v>0054485404</x:v>
      </x:c>
      <x:c r="C79" s="7" t="str">
        <x:v>80S 175</x:v>
      </x:c>
      <x:c r="D79" s="28" t="str">
        <x:v>NO-GO</x:v>
      </x:c>
      <x:c r="E79" s="7" t="str">
        <x:v>Remove</x:v>
      </x:c>
      <x:c r="F79" s="26" t="n">
        <x:v>2</x:v>
      </x:c>
      <x:c r="G79" s="26" t="n">
        <x:v>0</x:v>
      </x:c>
      <x:c r="H79" s="26" t="n">
        <x:v>2</x:v>
      </x:c>
      <x:c r="I79" s="26" t="n">
        <x:v>0</x:v>
      </x:c>
      <x:c r="J79" s="26" t="n">
        <x:v>0</x:v>
      </x:c>
      <x:c r="K79" s="26" t="n">
        <x:v>0</x:v>
      </x:c>
      <x:c r="L79" s="26" t="n">
        <x:v>0</x:v>
      </x:c>
      <x:c r="M79" s="26" t="n">
        <x:v>0</x:v>
      </x:c>
      <x:c r="N79" s="7" t="str">
        <x:v>DORMANT</x:v>
      </x:c>
      <x:c r="O79" s="7" t="str">
        <x:v>No stock, Rx or breakage demand in 12 months</x:v>
      </x:c>
    </x:row>
    <x:row r="80" ht="20" customHeight="1">
      <x:c r="A80" s="7" t="n">
        <x:v>74</x:v>
      </x:c>
      <x:c r="B80" s="27" t="str">
        <x:f>"0054485420"</x:f>
        <x:v>0054485420</x:v>
      </x:c>
      <x:c r="C80" s="7" t="str">
        <x:v>80S 375</x:v>
      </x:c>
      <x:c r="D80" s="28" t="str">
        <x:v>NO-GO</x:v>
      </x:c>
      <x:c r="E80" s="7" t="str">
        <x:v>Remove</x:v>
      </x:c>
      <x:c r="F80" s="26" t="n">
        <x:v>2</x:v>
      </x:c>
      <x:c r="G80" s="26" t="n">
        <x:v>0</x:v>
      </x:c>
      <x:c r="H80" s="26" t="n">
        <x:v>0</x:v>
      </x:c>
      <x:c r="I80" s="26" t="n">
        <x:v>0</x:v>
      </x:c>
      <x:c r="J80" s="26" t="n">
        <x:v>0</x:v>
      </x:c>
      <x:c r="K80" s="26" t="n">
        <x:v>0</x:v>
      </x:c>
      <x:c r="L80" s="26" t="n">
        <x:v>0</x:v>
      </x:c>
      <x:c r="M80" s="26" t="n">
        <x:v>0</x:v>
      </x:c>
      <x:c r="N80" s="7" t="str">
        <x:v>DORMANT</x:v>
      </x:c>
      <x:c r="O80" s="7" t="str">
        <x:v>No stock, Rx or breakage demand in 12 months</x:v>
      </x:c>
    </x:row>
    <x:row r="81" ht="20" customHeight="1">
      <x:c r="A81" s="7" t="n">
        <x:v>75</x:v>
      </x:c>
      <x:c r="B81" s="27" t="str">
        <x:f>"0054477229"</x:f>
        <x:v>0054477229</x:v>
      </x:c>
      <x:c r="C81" s="7" t="str">
        <x:v>79S 150</x:v>
      </x:c>
      <x:c r="D81" s="28" t="str">
        <x:v>NO-GO</x:v>
      </x:c>
      <x:c r="E81" s="7" t="str">
        <x:v>Reduce</x:v>
      </x:c>
      <x:c r="F81" s="26" t="n">
        <x:v>5</x:v>
      </x:c>
      <x:c r="G81" s="26" t="n">
        <x:v>2</x:v>
      </x:c>
      <x:c r="H81" s="26" t="n">
        <x:v>1</x:v>
      </x:c>
      <x:c r="I81" s="26" t="n">
        <x:v>2</x:v>
      </x:c>
      <x:c r="J81" s="26" t="n">
        <x:v>0</x:v>
      </x:c>
      <x:c r="K81" s="26" t="n">
        <x:v>1</x:v>
      </x:c>
      <x:c r="L81" s="26" t="n">
        <x:v>3</x:v>
      </x:c>
      <x:c r="M81" s="26" t="n">
        <x:v>0</x:v>
      </x:c>
      <x:c r="N81" s="7" t="str">
        <x:v>NEXT CYCLE</x:v>
      </x:c>
      <x:c r="O81" s="7" t="str">
        <x:v>1 on hand; 3 total demand in 90d</x:v>
      </x:c>
    </x:row>
    <x:row r="82" ht="20" customHeight="1">
      <x:c r="A82" s="7" t="n">
        <x:v>76</x:v>
      </x:c>
      <x:c r="B82" s="27" t="str">
        <x:f>"0054477237"</x:f>
        <x:v>0054477237</x:v>
      </x:c>
      <x:c r="C82" s="7" t="str">
        <x:v>79S 325</x:v>
      </x:c>
      <x:c r="D82" s="28" t="str">
        <x:v>NO-GO</x:v>
      </x:c>
      <x:c r="E82" s="7" t="str">
        <x:v>Reduce</x:v>
      </x:c>
      <x:c r="F82" s="26" t="n">
        <x:v>6</x:v>
      </x:c>
      <x:c r="G82" s="26" t="n">
        <x:v>3</x:v>
      </x:c>
      <x:c r="H82" s="26" t="n">
        <x:v>0</x:v>
      </x:c>
      <x:c r="I82" s="26" t="n">
        <x:v>11</x:v>
      </x:c>
      <x:c r="J82" s="26" t="n">
        <x:v>0</x:v>
      </x:c>
      <x:c r="K82" s="26" t="n">
        <x:v>1</x:v>
      </x:c>
      <x:c r="L82" s="26" t="n">
        <x:v>0</x:v>
      </x:c>
      <x:c r="M82" s="26" t="n">
        <x:v>0</x:v>
      </x:c>
      <x:c r="N82" s="7" t="str">
        <x:v>NEXT CYCLE</x:v>
      </x:c>
      <x:c r="O82" s="7" t="str">
        <x:v>0 on hand; 0 total demand in 90d</x:v>
      </x:c>
    </x:row>
    <x:row r="83" ht="20" customHeight="1">
      <x:c r="A83" s="7" t="n">
        <x:v>77</x:v>
      </x:c>
      <x:c r="B83" s="27" t="str">
        <x:f>"0054477245"</x:f>
        <x:v>0054477245</x:v>
      </x:c>
      <x:c r="C83" s="7" t="str">
        <x:v>79S 425</x:v>
      </x:c>
      <x:c r="D83" s="28" t="str">
        <x:v>GO</x:v>
      </x:c>
      <x:c r="E83" s="7" t="str">
        <x:v>Keep draft</x:v>
      </x:c>
      <x:c r="F83" s="26" t="n">
        <x:v>6</x:v>
      </x:c>
      <x:c r="G83" s="26" t="n">
        <x:v>6</x:v>
      </x:c>
      <x:c r="H83" s="26" t="n">
        <x:v>0</x:v>
      </x:c>
      <x:c r="I83" s="26" t="n">
        <x:v>51</x:v>
      </x:c>
      <x:c r="J83" s="26" t="n">
        <x:v>0</x:v>
      </x:c>
      <x:c r="K83" s="26" t="n">
        <x:v>1</x:v>
      </x:c>
      <x:c r="L83" s="26" t="n">
        <x:v>15</x:v>
      </x:c>
      <x:c r="M83" s="26" t="n">
        <x:v>0</x:v>
      </x:c>
      <x:c r="N83" s="7" t="str">
        <x:v>ORDER NOW</x:v>
      </x:c>
      <x:c r="O83" s="7" t="str">
        <x:v>0 on hand; 15 total demand in 90d</x:v>
      </x:c>
    </x:row>
    <x:row r="84" ht="20" customHeight="1">
      <x:c r="A84" s="7" t="n">
        <x:v>78</x:v>
      </x:c>
      <x:c r="B84" s="27" t="str">
        <x:f>"0054477260"</x:f>
        <x:v>0054477260</x:v>
      </x:c>
      <x:c r="C84" s="7" t="str">
        <x:v>79S 550</x:v>
      </x:c>
      <x:c r="D84" s="28" t="str">
        <x:v>GO</x:v>
      </x:c>
      <x:c r="E84" s="7" t="str">
        <x:v>Keep draft</x:v>
      </x:c>
      <x:c r="F84" s="26" t="n">
        <x:v>5</x:v>
      </x:c>
      <x:c r="G84" s="26" t="n">
        <x:v>5</x:v>
      </x:c>
      <x:c r="H84" s="26" t="n">
        <x:v>2</x:v>
      </x:c>
      <x:c r="I84" s="26" t="n">
        <x:v>67</x:v>
      </x:c>
      <x:c r="J84" s="26" t="n">
        <x:v>0</x:v>
      </x:c>
      <x:c r="K84" s="26" t="n">
        <x:v>0</x:v>
      </x:c>
      <x:c r="L84" s="26" t="n">
        <x:v>29</x:v>
      </x:c>
      <x:c r="M84" s="26" t="n">
        <x:v>0</x:v>
      </x:c>
      <x:c r="N84" s="7" t="str">
        <x:v>ORDER NOW</x:v>
      </x:c>
      <x:c r="O84" s="7" t="str">
        <x:v>2 on hand; 29 total demand in 90d</x:v>
      </x:c>
    </x:row>
    <x:row r="85" ht="20" customHeight="1">
      <x:c r="A85" s="7" t="n">
        <x:v>79</x:v>
      </x:c>
      <x:c r="B85" s="27" t="str">
        <x:f>"0181275041"</x:f>
        <x:v>0181275041</x:v>
      </x:c>
      <x:c r="C85" s="7" t="str">
        <x:v>77S 175/175</x:v>
      </x:c>
      <x:c r="D85" s="28" t="str">
        <x:v>NO-GO</x:v>
      </x:c>
      <x:c r="E85" s="7" t="str">
        <x:v>Remove</x:v>
      </x:c>
      <x:c r="F85" s="26" t="n">
        <x:v>1</x:v>
      </x:c>
      <x:c r="G85" s="26" t="n">
        <x:v>0</x:v>
      </x:c>
      <x:c r="H85" s="26" t="n">
        <x:v>2</x:v>
      </x:c>
      <x:c r="I85" s="26" t="n">
        <x:v>0</x:v>
      </x:c>
      <x:c r="J85" s="26" t="n">
        <x:v>0</x:v>
      </x:c>
      <x:c r="K85" s="26" t="n">
        <x:v>0</x:v>
      </x:c>
      <x:c r="L85" s="26" t="n">
        <x:v>0</x:v>
      </x:c>
      <x:c r="M85" s="26" t="n">
        <x:v>0</x:v>
      </x:c>
      <x:c r="N85" s="7" t="str">
        <x:v>COVERED</x:v>
      </x:c>
      <x:c r="O85" s="7" t="str">
        <x:v>2 on hand covers 0-lens target</x:v>
      </x:c>
    </x:row>
    <x:row r="86" ht="20" customHeight="1">
      <x:c r="A86" s="7" t="n">
        <x:v>80</x:v>
      </x:c>
      <x:c r="B86" s="27" t="str">
        <x:f>"0181275108"</x:f>
        <x:v>0181275108</x:v>
      </x:c>
      <x:c r="C86" s="7" t="str">
        <x:v>77S 175/250</x:v>
      </x:c>
      <x:c r="D86" s="28" t="str">
        <x:v>NO-GO</x:v>
      </x:c>
      <x:c r="E86" s="7" t="str">
        <x:v>Remove</x:v>
      </x:c>
      <x:c r="F86" s="26" t="n">
        <x:v>1</x:v>
      </x:c>
      <x:c r="G86" s="26" t="n">
        <x:v>0</x:v>
      </x:c>
      <x:c r="H86" s="26" t="n">
        <x:v>3</x:v>
      </x:c>
      <x:c r="I86" s="26" t="n">
        <x:v>1</x:v>
      </x:c>
      <x:c r="J86" s="26" t="n">
        <x:v>0</x:v>
      </x:c>
      <x:c r="K86" s="26" t="n">
        <x:v>1</x:v>
      </x:c>
      <x:c r="L86" s="26" t="n">
        <x:v>0</x:v>
      </x:c>
      <x:c r="M86" s="26" t="n">
        <x:v>0</x:v>
      </x:c>
      <x:c r="N86" s="7" t="str">
        <x:v>COVERED</x:v>
      </x:c>
      <x:c r="O86" s="7" t="str">
        <x:v>3 on hand covers 2-lens target</x:v>
      </x:c>
    </x:row>
    <x:row r="87" ht="20" customHeight="1">
      <x:c r="A87" s="7" t="n">
        <x:v>81</x:v>
      </x:c>
      <x:c r="B87" s="27" t="str">
        <x:f>"0181275090"</x:f>
        <x:v>0181275090</x:v>
      </x:c>
      <x:c r="C87" s="7" t="str">
        <x:v>77S 175/250</x:v>
      </x:c>
      <x:c r="D87" s="28" t="str">
        <x:v>NO-GO</x:v>
      </x:c>
      <x:c r="E87" s="7" t="str">
        <x:v>Remove</x:v>
      </x:c>
      <x:c r="F87" s="26" t="n">
        <x:v>1</x:v>
      </x:c>
      <x:c r="G87" s="26" t="n">
        <x:v>0</x:v>
      </x:c>
      <x:c r="H87" s="26" t="n">
        <x:v>3</x:v>
      </x:c>
      <x:c r="I87" s="26" t="n">
        <x:v>2</x:v>
      </x:c>
      <x:c r="J87" s="26" t="n">
        <x:v>0</x:v>
      </x:c>
      <x:c r="K87" s="26" t="n">
        <x:v>1</x:v>
      </x:c>
      <x:c r="L87" s="26" t="n">
        <x:v>0</x:v>
      </x:c>
      <x:c r="M87" s="26" t="n">
        <x:v>0</x:v>
      </x:c>
      <x:c r="N87" s="7" t="str">
        <x:v>COVERED</x:v>
      </x:c>
      <x:c r="O87" s="7" t="str">
        <x:v>3 on hand covers 2-lens target</x:v>
      </x:c>
    </x:row>
    <x:row r="88" ht="20" customHeight="1">
      <x:c r="A88" s="7" t="n">
        <x:v>82</x:v>
      </x:c>
      <x:c r="B88" s="27" t="str">
        <x:f>"0181275140"</x:f>
        <x:v>0181275140</x:v>
      </x:c>
      <x:c r="C88" s="7" t="str">
        <x:v>77S 175/300</x:v>
      </x:c>
      <x:c r="D88" s="28" t="str">
        <x:v>NO-GO</x:v>
      </x:c>
      <x:c r="E88" s="7" t="str">
        <x:v>Remove</x:v>
      </x:c>
      <x:c r="F88" s="26" t="n">
        <x:v>1</x:v>
      </x:c>
      <x:c r="G88" s="26" t="n">
        <x:v>0</x:v>
      </x:c>
      <x:c r="H88" s="26" t="n">
        <x:v>2</x:v>
      </x:c>
      <x:c r="I88" s="26" t="n">
        <x:v>2</x:v>
      </x:c>
      <x:c r="J88" s="26" t="n">
        <x:v>0</x:v>
      </x:c>
      <x:c r="K88" s="26" t="n">
        <x:v>0</x:v>
      </x:c>
      <x:c r="L88" s="26" t="n">
        <x:v>0</x:v>
      </x:c>
      <x:c r="M88" s="26" t="n">
        <x:v>0</x:v>
      </x:c>
      <x:c r="N88" s="7" t="str">
        <x:v>COVERED</x:v>
      </x:c>
      <x:c r="O88" s="7" t="str">
        <x:v>2 on hand covers 2-lens target</x:v>
      </x:c>
    </x:row>
    <x:row r="89" ht="20" customHeight="1">
      <x:c r="A89" s="7" t="n">
        <x:v>83</x:v>
      </x:c>
      <x:c r="B89" s="27" t="str">
        <x:f>"0181275512"</x:f>
        <x:v>0181275512</x:v>
      </x:c>
      <x:c r="C89" s="7" t="str">
        <x:v>77S450/175</x:v>
      </x:c>
      <x:c r="D89" s="28" t="str">
        <x:v>GO</x:v>
      </x:c>
      <x:c r="E89" s="7" t="str">
        <x:v>Keep draft</x:v>
      </x:c>
      <x:c r="F89" s="26" t="n">
        <x:v>7</x:v>
      </x:c>
      <x:c r="G89" s="26" t="n">
        <x:v>7</x:v>
      </x:c>
      <x:c r="H89" s="26" t="n">
        <x:v>5</x:v>
      </x:c>
      <x:c r="I89" s="26" t="n">
        <x:v>23</x:v>
      </x:c>
      <x:c r="J89" s="26" t="n">
        <x:v>38</x:v>
      </x:c>
      <x:c r="K89" s="26" t="n">
        <x:v>0</x:v>
      </x:c>
      <x:c r="L89" s="26" t="n">
        <x:v>17</x:v>
      </x:c>
      <x:c r="M89" s="26" t="n">
        <x:v>0</x:v>
      </x:c>
      <x:c r="N89" s="7" t="str">
        <x:v>ORDER NOW</x:v>
      </x:c>
      <x:c r="O89" s="7" t="str">
        <x:v>5 on hand; 17 total demand in 90d</x:v>
      </x:c>
    </x:row>
    <x:row r="90" ht="20" customHeight="1">
      <x:c r="A90" s="7" t="n">
        <x:v>84</x:v>
      </x:c>
      <x:c r="B90" s="27" t="str">
        <x:f>"0181275520"</x:f>
        <x:v>0181275520</x:v>
      </x:c>
      <x:c r="C90" s="7" t="str">
        <x:v>77S450/175</x:v>
      </x:c>
      <x:c r="D90" s="28" t="str">
        <x:v>GO</x:v>
      </x:c>
      <x:c r="E90" s="7" t="str">
        <x:v>Keep draft</x:v>
      </x:c>
      <x:c r="F90" s="26" t="n">
        <x:v>6</x:v>
      </x:c>
      <x:c r="G90" s="26" t="n">
        <x:v>6</x:v>
      </x:c>
      <x:c r="H90" s="26" t="n">
        <x:v>4</x:v>
      </x:c>
      <x:c r="I90" s="26" t="n">
        <x:v>24</x:v>
      </x:c>
      <x:c r="J90" s="26" t="n">
        <x:v>38</x:v>
      </x:c>
      <x:c r="K90" s="26" t="n">
        <x:v>0</x:v>
      </x:c>
      <x:c r="L90" s="26" t="n">
        <x:v>18</x:v>
      </x:c>
      <x:c r="M90" s="26" t="n">
        <x:v>0</x:v>
      </x:c>
      <x:c r="N90" s="7" t="str">
        <x:v>ORDER NOW</x:v>
      </x:c>
      <x:c r="O90" s="7" t="str">
        <x:v>4 on hand; 18 total demand in 90d</x:v>
      </x:c>
    </x:row>
    <x:row r="91" ht="20" customHeight="1">
      <x:c r="A91" s="7" t="n">
        <x:v>85</x:v>
      </x:c>
      <x:c r="B91" s="27" t="str">
        <x:f>"0181275546"</x:f>
        <x:v>0181275546</x:v>
      </x:c>
      <x:c r="C91" s="7" t="str">
        <x:v>77S 450/200</x:v>
      </x:c>
      <x:c r="D91" s="28" t="str">
        <x:v>NO-GO</x:v>
      </x:c>
      <x:c r="E91" s="7" t="str">
        <x:v>Reduce</x:v>
      </x:c>
      <x:c r="F91" s="26" t="n">
        <x:v>12</x:v>
      </x:c>
      <x:c r="G91" s="26" t="n">
        <x:v>1</x:v>
      </x:c>
      <x:c r="H91" s="26" t="n">
        <x:v>18</x:v>
      </x:c>
      <x:c r="I91" s="26" t="n">
        <x:v>31</x:v>
      </x:c>
      <x:c r="J91" s="26" t="n">
        <x:v>70</x:v>
      </x:c>
      <x:c r="K91" s="26" t="n">
        <x:v>1</x:v>
      </x:c>
      <x:c r="L91" s="26" t="n">
        <x:v>26</x:v>
      </x:c>
      <x:c r="M91" s="26" t="n">
        <x:v>1</x:v>
      </x:c>
      <x:c r="N91" s="7" t="str">
        <x:v>NEXT CYCLE</x:v>
      </x:c>
      <x:c r="O91" s="7" t="str">
        <x:v>18 on hand; 26 total demand in 90d</x:v>
      </x:c>
    </x:row>
    <x:row r="92" ht="20" customHeight="1">
      <x:c r="A92" s="7" t="n">
        <x:v>86</x:v>
      </x:c>
      <x:c r="B92" s="27" t="str">
        <x:f>"0181275538"</x:f>
        <x:v>0181275538</x:v>
      </x:c>
      <x:c r="C92" s="7" t="str">
        <x:v>77S 450/200</x:v>
      </x:c>
      <x:c r="D92" s="28" t="str">
        <x:v>NO-GO</x:v>
      </x:c>
      <x:c r="E92" s="7" t="str">
        <x:v>Reduce</x:v>
      </x:c>
      <x:c r="F92" s="26" t="n">
        <x:v>10</x:v>
      </x:c>
      <x:c r="G92" s="26" t="n">
        <x:v>4</x:v>
      </x:c>
      <x:c r="H92" s="26" t="n">
        <x:v>16</x:v>
      </x:c>
      <x:c r="I92" s="26" t="n">
        <x:v>34</x:v>
      </x:c>
      <x:c r="J92" s="26" t="n">
        <x:v>70</x:v>
      </x:c>
      <x:c r="K92" s="26" t="n">
        <x:v>1</x:v>
      </x:c>
      <x:c r="L92" s="26" t="n">
        <x:v>28</x:v>
      </x:c>
      <x:c r="M92" s="26" t="n">
        <x:v>0</x:v>
      </x:c>
      <x:c r="N92" s="7" t="str">
        <x:v>NEXT CYCLE</x:v>
      </x:c>
      <x:c r="O92" s="7" t="str">
        <x:v>16 on hand; 28 total demand in 90d</x:v>
      </x:c>
    </x:row>
    <x:row r="93" ht="20" customHeight="1">
      <x:c r="A93" s="7" t="n">
        <x:v>87</x:v>
      </x:c>
      <x:c r="B93" s="27" t="str">
        <x:f>"0181275553"</x:f>
        <x:v>0181275553</x:v>
      </x:c>
      <x:c r="C93" s="7" t="str">
        <x:v>77S 450/225</x:v>
      </x:c>
      <x:c r="D93" s="28" t="str">
        <x:v>GO</x:v>
      </x:c>
      <x:c r="E93" s="7" t="str">
        <x:v>Keep draft</x:v>
      </x:c>
      <x:c r="F93" s="26" t="n">
        <x:v>17</x:v>
      </x:c>
      <x:c r="G93" s="26" t="n">
        <x:v>17</x:v>
      </x:c>
      <x:c r="H93" s="26" t="n">
        <x:v>9</x:v>
      </x:c>
      <x:c r="I93" s="26" t="n">
        <x:v>58</x:v>
      </x:c>
      <x:c r="J93" s="26" t="n">
        <x:v>68</x:v>
      </x:c>
      <x:c r="K93" s="26" t="n">
        <x:v>0</x:v>
      </x:c>
      <x:c r="L93" s="26" t="n">
        <x:v>37</x:v>
      </x:c>
      <x:c r="M93" s="26" t="n">
        <x:v>0</x:v>
      </x:c>
      <x:c r="N93" s="7" t="str">
        <x:v>ORDER NOW</x:v>
      </x:c>
      <x:c r="O93" s="7" t="str">
        <x:v>9 on hand; 37 total demand in 90d</x:v>
      </x:c>
    </x:row>
    <x:row r="94" ht="20" customHeight="1">
      <x:c r="A94" s="7" t="n">
        <x:v>88</x:v>
      </x:c>
      <x:c r="B94" s="27" t="str">
        <x:f>"0181275561"</x:f>
        <x:v>0181275561</x:v>
      </x:c>
      <x:c r="C94" s="7" t="str">
        <x:v>77S 450/225</x:v>
      </x:c>
      <x:c r="D94" s="28" t="str">
        <x:v>GO</x:v>
      </x:c>
      <x:c r="E94" s="7" t="str">
        <x:v>Keep draft</x:v>
      </x:c>
      <x:c r="F94" s="26" t="n">
        <x:v>15</x:v>
      </x:c>
      <x:c r="G94" s="26" t="n">
        <x:v>15</x:v>
      </x:c>
      <x:c r="H94" s="26" t="n">
        <x:v>7</x:v>
      </x:c>
      <x:c r="I94" s="26" t="n">
        <x:v>61</x:v>
      </x:c>
      <x:c r="J94" s="26" t="n">
        <x:v>68</x:v>
      </x:c>
      <x:c r="K94" s="26" t="n">
        <x:v>1</x:v>
      </x:c>
      <x:c r="L94" s="26" t="n">
        <x:v>39</x:v>
      </x:c>
      <x:c r="M94" s="26" t="n">
        <x:v>0</x:v>
      </x:c>
      <x:c r="N94" s="7" t="str">
        <x:v>ORDER NOW</x:v>
      </x:c>
      <x:c r="O94" s="7" t="str">
        <x:v>7 on hand; 39 total demand in 90d</x:v>
      </x:c>
    </x:row>
    <x:row r="95" ht="20" customHeight="1">
      <x:c r="A95" s="7" t="n">
        <x:v>89</x:v>
      </x:c>
      <x:c r="B95" s="27" t="str">
        <x:f>"0181275587"</x:f>
        <x:v>0181275587</x:v>
      </x:c>
      <x:c r="C95" s="7" t="str">
        <x:v>77S 450/250</x:v>
      </x:c>
      <x:c r="D95" s="28" t="str">
        <x:v>GO</x:v>
      </x:c>
      <x:c r="E95" s="7" t="str">
        <x:v>Keep draft</x:v>
      </x:c>
      <x:c r="F95" s="26" t="n">
        <x:v>30</x:v>
      </x:c>
      <x:c r="G95" s="26" t="n">
        <x:v>30</x:v>
      </x:c>
      <x:c r="H95" s="26" t="n">
        <x:v>18</x:v>
      </x:c>
      <x:c r="I95" s="26" t="n">
        <x:v>135</x:v>
      </x:c>
      <x:c r="J95" s="26" t="n">
        <x:v>209</x:v>
      </x:c>
      <x:c r="K95" s="26" t="n">
        <x:v>2</x:v>
      </x:c>
      <x:c r="L95" s="26" t="n">
        <x:v>93</x:v>
      </x:c>
      <x:c r="M95" s="26" t="n">
        <x:v>0</x:v>
      </x:c>
      <x:c r="N95" s="7" t="str">
        <x:v>ORDER NOW</x:v>
      </x:c>
      <x:c r="O95" s="7" t="str">
        <x:v>18 on hand; 93 total demand in 90d</x:v>
      </x:c>
    </x:row>
    <x:row r="96" ht="20" customHeight="1">
      <x:c r="A96" s="7" t="n">
        <x:v>90</x:v>
      </x:c>
      <x:c r="B96" s="27" t="str">
        <x:f>"0181275579"</x:f>
        <x:v>0181275579</x:v>
      </x:c>
      <x:c r="C96" s="7" t="str">
        <x:v>77S 450/250</x:v>
      </x:c>
      <x:c r="D96" s="28" t="str">
        <x:v>GO</x:v>
      </x:c>
      <x:c r="E96" s="7" t="str">
        <x:v>Keep draft</x:v>
      </x:c>
      <x:c r="F96" s="26" t="n">
        <x:v>30</x:v>
      </x:c>
      <x:c r="G96" s="26" t="n">
        <x:v>30</x:v>
      </x:c>
      <x:c r="H96" s="26" t="n">
        <x:v>20</x:v>
      </x:c>
      <x:c r="I96" s="26" t="n">
        <x:v>137</x:v>
      </x:c>
      <x:c r="J96" s="26" t="n">
        <x:v>207</x:v>
      </x:c>
      <x:c r="K96" s="26" t="n">
        <x:v>5</x:v>
      </x:c>
      <x:c r="L96" s="26" t="n">
        <x:v>92</x:v>
      </x:c>
      <x:c r="M96" s="26" t="n">
        <x:v>0</x:v>
      </x:c>
      <x:c r="N96" s="7" t="str">
        <x:v>ORDER NOW</x:v>
      </x:c>
      <x:c r="O96" s="7" t="str">
        <x:v>20 on hand; 92 total demand in 90d</x:v>
      </x:c>
    </x:row>
    <x:row r="97" ht="20" customHeight="1">
      <x:c r="A97" s="7" t="n">
        <x:v>91</x:v>
      </x:c>
      <x:c r="B97" s="27" t="str">
        <x:f>"0181275603"</x:f>
        <x:v>0181275603</x:v>
      </x:c>
      <x:c r="C97" s="7" t="str">
        <x:v>77S 450/275</x:v>
      </x:c>
      <x:c r="D97" s="28" t="str">
        <x:v>GO</x:v>
      </x:c>
      <x:c r="E97" s="7" t="str">
        <x:v>Keep draft</x:v>
      </x:c>
      <x:c r="F97" s="26" t="n">
        <x:v>4</x:v>
      </x:c>
      <x:c r="G97" s="26" t="n">
        <x:v>4</x:v>
      </x:c>
      <x:c r="H97" s="26" t="n">
        <x:v>13</x:v>
      </x:c>
      <x:c r="I97" s="26" t="n">
        <x:v>50</x:v>
      </x:c>
      <x:c r="J97" s="26" t="n">
        <x:v>44</x:v>
      </x:c>
      <x:c r="K97" s="26" t="n">
        <x:v>2</x:v>
      </x:c>
      <x:c r="L97" s="26" t="n">
        <x:v>26</x:v>
      </x:c>
      <x:c r="M97" s="26" t="n">
        <x:v>0</x:v>
      </x:c>
      <x:c r="N97" s="7" t="str">
        <x:v>NEXT CYCLE</x:v>
      </x:c>
      <x:c r="O97" s="7" t="str">
        <x:v>13 on hand; 26 total demand in 90d</x:v>
      </x:c>
    </x:row>
    <x:row r="98" ht="20" customHeight="1">
      <x:c r="A98" s="7" t="n">
        <x:v>92</x:v>
      </x:c>
      <x:c r="B98" s="27" t="str">
        <x:f>"0181275595"</x:f>
        <x:v>0181275595</x:v>
      </x:c>
      <x:c r="C98" s="7" t="str">
        <x:v>77S 450/275</x:v>
      </x:c>
      <x:c r="D98" s="28" t="str">
        <x:v>GO</x:v>
      </x:c>
      <x:c r="E98" s="7" t="str">
        <x:v>Keep draft</x:v>
      </x:c>
      <x:c r="F98" s="26" t="n">
        <x:v>4</x:v>
      </x:c>
      <x:c r="G98" s="26" t="n">
        <x:v>4</x:v>
      </x:c>
      <x:c r="H98" s="26" t="n">
        <x:v>12</x:v>
      </x:c>
      <x:c r="I98" s="26" t="n">
        <x:v>51</x:v>
      </x:c>
      <x:c r="J98" s="26" t="n">
        <x:v>44</x:v>
      </x:c>
      <x:c r="K98" s="26" t="n">
        <x:v>1</x:v>
      </x:c>
      <x:c r="L98" s="26" t="n">
        <x:v>28</x:v>
      </x:c>
      <x:c r="M98" s="26" t="n">
        <x:v>1</x:v>
      </x:c>
      <x:c r="N98" s="7" t="str">
        <x:v>NEXT CYCLE</x:v>
      </x:c>
      <x:c r="O98" s="7" t="str">
        <x:v>12 on hand; 28 total demand in 90d</x:v>
      </x:c>
    </x:row>
    <x:row r="99" ht="20" customHeight="1">
      <x:c r="A99" s="7" t="n">
        <x:v>93</x:v>
      </x:c>
      <x:c r="B99" s="27" t="str">
        <x:f>"0181275629"</x:f>
        <x:v>0181275629</x:v>
      </x:c>
      <x:c r="C99" s="7" t="str">
        <x:v>77S 450/300</x:v>
      </x:c>
      <x:c r="D99" s="28" t="str">
        <x:v>GO</x:v>
      </x:c>
      <x:c r="E99" s="7" t="str">
        <x:v>Keep draft</x:v>
      </x:c>
      <x:c r="F99" s="26" t="n">
        <x:v>6</x:v>
      </x:c>
      <x:c r="G99" s="26" t="n">
        <x:v>6</x:v>
      </x:c>
      <x:c r="H99" s="26" t="n">
        <x:v>3</x:v>
      </x:c>
      <x:c r="I99" s="26" t="n">
        <x:v>28</x:v>
      </x:c>
      <x:c r="J99" s="26" t="n">
        <x:v>26</x:v>
      </x:c>
      <x:c r="K99" s="26" t="n">
        <x:v>1</x:v>
      </x:c>
      <x:c r="L99" s="26" t="n">
        <x:v>13</x:v>
      </x:c>
      <x:c r="M99" s="26" t="n">
        <x:v>1</x:v>
      </x:c>
      <x:c r="N99" s="7" t="str">
        <x:v>ORDER NOW</x:v>
      </x:c>
      <x:c r="O99" s="7" t="str">
        <x:v>3 on hand; 13 total demand in 90d</x:v>
      </x:c>
    </x:row>
    <x:row r="100" ht="20" customHeight="1">
      <x:c r="A100" s="7" t="n">
        <x:v>94</x:v>
      </x:c>
      <x:c r="B100" s="27" t="str">
        <x:f>"0181275611"</x:f>
        <x:v>0181275611</x:v>
      </x:c>
      <x:c r="C100" s="7" t="str">
        <x:v>77S 450/300</x:v>
      </x:c>
      <x:c r="D100" s="28" t="str">
        <x:v>GO</x:v>
      </x:c>
      <x:c r="E100" s="7" t="str">
        <x:v>Keep draft</x:v>
      </x:c>
      <x:c r="F100" s="26" t="n">
        <x:v>6</x:v>
      </x:c>
      <x:c r="G100" s="26" t="n">
        <x:v>6</x:v>
      </x:c>
      <x:c r="H100" s="26" t="n">
        <x:v>2</x:v>
      </x:c>
      <x:c r="I100" s="26" t="n">
        <x:v>28</x:v>
      </x:c>
      <x:c r="J100" s="26" t="n">
        <x:v>26</x:v>
      </x:c>
      <x:c r="K100" s="26" t="n">
        <x:v>0</x:v>
      </x:c>
      <x:c r="L100" s="26" t="n">
        <x:v>13</x:v>
      </x:c>
      <x:c r="M100" s="26" t="n">
        <x:v>0</x:v>
      </x:c>
      <x:c r="N100" s="7" t="str">
        <x:v>ORDER NOW</x:v>
      </x:c>
      <x:c r="O100" s="7" t="str">
        <x:v>2 on hand; 13 total demand in 90d</x:v>
      </x:c>
    </x:row>
    <x:row r="101" ht="20" customHeight="1">
      <x:c r="A101" s="7" t="n">
        <x:v>95</x:v>
      </x:c>
      <x:c r="B101" s="27" t="str">
        <x:f>"0181275660"</x:f>
        <x:v>0181275660</x:v>
      </x:c>
      <x:c r="C101" s="7" t="str">
        <x:v>77S 450/350</x:v>
      </x:c>
      <x:c r="D101" s="28" t="str">
        <x:v>GO</x:v>
      </x:c>
      <x:c r="E101" s="7" t="str">
        <x:v>Keep draft</x:v>
      </x:c>
      <x:c r="F101" s="26" t="n">
        <x:v>2</x:v>
      </x:c>
      <x:c r="G101" s="26" t="n">
        <x:v>2</x:v>
      </x:c>
      <x:c r="H101" s="26" t="n">
        <x:v>1</x:v>
      </x:c>
      <x:c r="I101" s="26" t="n">
        <x:v>4</x:v>
      </x:c>
      <x:c r="J101" s="26" t="n">
        <x:v>0</x:v>
      </x:c>
      <x:c r="K101" s="26" t="n">
        <x:v>0</x:v>
      </x:c>
      <x:c r="L101" s="26" t="n">
        <x:v>2</x:v>
      </x:c>
      <x:c r="M101" s="26" t="n">
        <x:v>1</x:v>
      </x:c>
      <x:c r="N101" s="7" t="str">
        <x:v>NEXT CYCLE</x:v>
      </x:c>
      <x:c r="O101" s="7" t="str">
        <x:v>1 on hand; 2 total demand in 90d</x:v>
      </x:c>
    </x:row>
    <x:row r="102" ht="20" customHeight="1">
      <x:c r="A102" s="7" t="n">
        <x:v>96</x:v>
      </x:c>
      <x:c r="B102" s="27" t="str">
        <x:f>"0181275652"</x:f>
        <x:v>0181275652</x:v>
      </x:c>
      <x:c r="C102" s="7" t="str">
        <x:v>77S 450/350</x:v>
      </x:c>
      <x:c r="D102" s="28" t="str">
        <x:v>GO</x:v>
      </x:c>
      <x:c r="E102" s="7" t="str">
        <x:v>Keep draft</x:v>
      </x:c>
      <x:c r="F102" s="26" t="n">
        <x:v>2</x:v>
      </x:c>
      <x:c r="G102" s="26" t="n">
        <x:v>2</x:v>
      </x:c>
      <x:c r="H102" s="26" t="n">
        <x:v>1</x:v>
      </x:c>
      <x:c r="I102" s="26" t="n">
        <x:v>4</x:v>
      </x:c>
      <x:c r="J102" s="26" t="n">
        <x:v>0</x:v>
      </x:c>
      <x:c r="K102" s="26" t="n">
        <x:v>0</x:v>
      </x:c>
      <x:c r="L102" s="26" t="n">
        <x:v>2</x:v>
      </x:c>
      <x:c r="M102" s="26" t="n">
        <x:v>1</x:v>
      </x:c>
      <x:c r="N102" s="7" t="str">
        <x:v>NEXT CYCLE</x:v>
      </x:c>
      <x:c r="O102" s="7" t="str">
        <x:v>1 on hand; 2 total demand in 90d</x:v>
      </x:c>
    </x:row>
    <x:row r="103" ht="20" customHeight="1">
      <x:c r="A103" s="7" t="n">
        <x:v>97</x:v>
      </x:c>
      <x:c r="B103" s="27" t="str">
        <x:f>"0181275744"</x:f>
        <x:v>0181275744</x:v>
      </x:c>
      <x:c r="C103" s="7" t="str">
        <x:v>77S 600/150</x:v>
      </x:c>
      <x:c r="D103" s="28" t="str">
        <x:v>NO-GO</x:v>
      </x:c>
      <x:c r="E103" s="7" t="str">
        <x:v>Reduce</x:v>
      </x:c>
      <x:c r="F103" s="26" t="n">
        <x:v>3</x:v>
      </x:c>
      <x:c r="G103" s="26" t="n">
        <x:v>1</x:v>
      </x:c>
      <x:c r="H103" s="26" t="n">
        <x:v>2</x:v>
      </x:c>
      <x:c r="I103" s="26" t="n">
        <x:v>4</x:v>
      </x:c>
      <x:c r="J103" s="26" t="n">
        <x:v>0</x:v>
      </x:c>
      <x:c r="K103" s="26" t="n">
        <x:v>0</x:v>
      </x:c>
      <x:c r="L103" s="26" t="n">
        <x:v>2</x:v>
      </x:c>
      <x:c r="M103" s="26" t="n">
        <x:v>0</x:v>
      </x:c>
      <x:c r="N103" s="7" t="str">
        <x:v>NEXT CYCLE</x:v>
      </x:c>
      <x:c r="O103" s="7" t="str">
        <x:v>2 on hand; 2 total demand in 90d</x:v>
      </x:c>
    </x:row>
    <x:row r="104" ht="20" customHeight="1">
      <x:c r="A104" s="7" t="n">
        <x:v>98</x:v>
      </x:c>
      <x:c r="B104" s="27" t="str">
        <x:f>"0181275736"</x:f>
        <x:v>0181275736</x:v>
      </x:c>
      <x:c r="C104" s="7" t="str">
        <x:v>77S 600/150</x:v>
      </x:c>
      <x:c r="D104" s="28" t="str">
        <x:v>NO-GO</x:v>
      </x:c>
      <x:c r="E104" s="7" t="str">
        <x:v>Reduce</x:v>
      </x:c>
      <x:c r="F104" s="26" t="n">
        <x:v>3</x:v>
      </x:c>
      <x:c r="G104" s="26" t="n">
        <x:v>1</x:v>
      </x:c>
      <x:c r="H104" s="26" t="n">
        <x:v>2</x:v>
      </x:c>
      <x:c r="I104" s="26" t="n">
        <x:v>4</x:v>
      </x:c>
      <x:c r="J104" s="26" t="n">
        <x:v>0</x:v>
      </x:c>
      <x:c r="K104" s="26" t="n">
        <x:v>0</x:v>
      </x:c>
      <x:c r="L104" s="26" t="n">
        <x:v>2</x:v>
      </x:c>
      <x:c r="M104" s="26" t="n">
        <x:v>3</x:v>
      </x:c>
      <x:c r="N104" s="7" t="str">
        <x:v>NEXT CYCLE</x:v>
      </x:c>
      <x:c r="O104" s="7" t="str">
        <x:v>2 on hand; 2 total demand in 90d</x:v>
      </x:c>
    </x:row>
    <x:row r="105" ht="20" customHeight="1">
      <x:c r="A105" s="7" t="n">
        <x:v>99</x:v>
      </x:c>
      <x:c r="B105" s="27" t="str">
        <x:f>"0181275769"</x:f>
        <x:v>0181275769</x:v>
      </x:c>
      <x:c r="C105" s="7" t="str">
        <x:v>77S 600/175</x:v>
      </x:c>
      <x:c r="D105" s="28" t="str">
        <x:v>NO-GO</x:v>
      </x:c>
      <x:c r="E105" s="7" t="str">
        <x:v>Reduce</x:v>
      </x:c>
      <x:c r="F105" s="26" t="n">
        <x:v>2</x:v>
      </x:c>
      <x:c r="G105" s="26" t="n">
        <x:v>1</x:v>
      </x:c>
      <x:c r="H105" s="26" t="n">
        <x:v>1</x:v>
      </x:c>
      <x:c r="I105" s="26" t="n">
        <x:v>2</x:v>
      </x:c>
      <x:c r="J105" s="26" t="n">
        <x:v>0</x:v>
      </x:c>
      <x:c r="K105" s="26" t="n">
        <x:v>0</x:v>
      </x:c>
      <x:c r="L105" s="26" t="n">
        <x:v>1</x:v>
      </x:c>
      <x:c r="M105" s="26" t="n">
        <x:v>0</x:v>
      </x:c>
      <x:c r="N105" s="7" t="str">
        <x:v>NEXT CYCLE</x:v>
      </x:c>
      <x:c r="O105" s="7" t="str">
        <x:v>1 on hand; 1 total demand in 90d</x:v>
      </x:c>
    </x:row>
    <x:row r="106" ht="20" customHeight="1">
      <x:c r="A106" s="7" t="n">
        <x:v>100</x:v>
      </x:c>
      <x:c r="B106" s="27" t="str">
        <x:f>"0181275751"</x:f>
        <x:v>0181275751</x:v>
      </x:c>
      <x:c r="C106" s="7" t="str">
        <x:v>77S 600/175</x:v>
      </x:c>
      <x:c r="D106" s="28" t="str">
        <x:v>NO-GO</x:v>
      </x:c>
      <x:c r="E106" s="7" t="str">
        <x:v>Reduce</x:v>
      </x:c>
      <x:c r="F106" s="26" t="n">
        <x:v>2</x:v>
      </x:c>
      <x:c r="G106" s="26" t="n">
        <x:v>1</x:v>
      </x:c>
      <x:c r="H106" s="26" t="n">
        <x:v>1</x:v>
      </x:c>
      <x:c r="I106" s="26" t="n">
        <x:v>2</x:v>
      </x:c>
      <x:c r="J106" s="26" t="n">
        <x:v>0</x:v>
      </x:c>
      <x:c r="K106" s="26" t="n">
        <x:v>0</x:v>
      </x:c>
      <x:c r="L106" s="26" t="n">
        <x:v>1</x:v>
      </x:c>
      <x:c r="M106" s="26" t="n">
        <x:v>0</x:v>
      </x:c>
      <x:c r="N106" s="7" t="str">
        <x:v>NEXT CYCLE</x:v>
      </x:c>
      <x:c r="O106" s="7" t="str">
        <x:v>1 on hand; 1 total demand in 90d</x:v>
      </x:c>
    </x:row>
    <x:row r="107" ht="20" customHeight="1">
      <x:c r="A107" s="7" t="n">
        <x:v>101</x:v>
      </x:c>
      <x:c r="B107" s="27" t="str">
        <x:f>"0181275793"</x:f>
        <x:v>0181275793</x:v>
      </x:c>
      <x:c r="C107" s="7" t="str">
        <x:v>77S 600/225</x:v>
      </x:c>
      <x:c r="D107" s="28" t="str">
        <x:v>GO</x:v>
      </x:c>
      <x:c r="E107" s="7" t="str">
        <x:v>Keep draft</x:v>
      </x:c>
      <x:c r="F107" s="26" t="n">
        <x:v>4</x:v>
      </x:c>
      <x:c r="G107" s="26" t="n">
        <x:v>4</x:v>
      </x:c>
      <x:c r="H107" s="26" t="n">
        <x:v>1</x:v>
      </x:c>
      <x:c r="I107" s="26" t="n">
        <x:v>13</x:v>
      </x:c>
      <x:c r="J107" s="26" t="n">
        <x:v>2</x:v>
      </x:c>
      <x:c r="K107" s="26" t="n">
        <x:v>0</x:v>
      </x:c>
      <x:c r="L107" s="26" t="n">
        <x:v>5</x:v>
      </x:c>
      <x:c r="M107" s="26" t="n">
        <x:v>0</x:v>
      </x:c>
      <x:c r="N107" s="7" t="str">
        <x:v>ORDER NOW</x:v>
      </x:c>
      <x:c r="O107" s="7" t="str">
        <x:v>1 on hand; 5 total demand in 90d</x:v>
      </x:c>
    </x:row>
    <x:row r="108" ht="20" customHeight="1">
      <x:c r="A108" s="7" t="n">
        <x:v>102</x:v>
      </x:c>
      <x:c r="B108" s="27" t="str">
        <x:f>"0181275801"</x:f>
        <x:v>0181275801</x:v>
      </x:c>
      <x:c r="C108" s="7" t="str">
        <x:v>77S 600/225</x:v>
      </x:c>
      <x:c r="D108" s="28" t="str">
        <x:v>GO</x:v>
      </x:c>
      <x:c r="E108" s="7" t="str">
        <x:v>Keep draft</x:v>
      </x:c>
      <x:c r="F108" s="26" t="n">
        <x:v>3</x:v>
      </x:c>
      <x:c r="G108" s="26" t="n">
        <x:v>3</x:v>
      </x:c>
      <x:c r="H108" s="26" t="n">
        <x:v>0</x:v>
      </x:c>
      <x:c r="I108" s="26" t="n">
        <x:v>13</x:v>
      </x:c>
      <x:c r="J108" s="26" t="n">
        <x:v>2</x:v>
      </x:c>
      <x:c r="K108" s="26" t="n">
        <x:v>0</x:v>
      </x:c>
      <x:c r="L108" s="26" t="n">
        <x:v>5</x:v>
      </x:c>
      <x:c r="M108" s="26" t="n">
        <x:v>0</x:v>
      </x:c>
      <x:c r="N108" s="7" t="str">
        <x:v>ORDER NOW</x:v>
      </x:c>
      <x:c r="O108" s="7" t="str">
        <x:v>0 on hand; 5 total demand in 90d</x:v>
      </x:c>
    </x:row>
    <x:row r="109" ht="20" customHeight="1">
      <x:c r="A109" s="7" t="n">
        <x:v>103</x:v>
      </x:c>
      <x:c r="B109" s="27" t="str">
        <x:f>"0181275827"</x:f>
        <x:v>0181275827</x:v>
      </x:c>
      <x:c r="C109" s="7" t="str">
        <x:v>77S 600/250</x:v>
      </x:c>
      <x:c r="D109" s="28" t="str">
        <x:v>GO</x:v>
      </x:c>
      <x:c r="E109" s="7" t="str">
        <x:v>Keep draft</x:v>
      </x:c>
      <x:c r="F109" s="26" t="n">
        <x:v>8</x:v>
      </x:c>
      <x:c r="G109" s="26" t="n">
        <x:v>8</x:v>
      </x:c>
      <x:c r="H109" s="26" t="n">
        <x:v>1</x:v>
      </x:c>
      <x:c r="I109" s="26" t="n">
        <x:v>24</x:v>
      </x:c>
      <x:c r="J109" s="26" t="n">
        <x:v>41</x:v>
      </x:c>
      <x:c r="K109" s="26" t="n">
        <x:v>1</x:v>
      </x:c>
      <x:c r="L109" s="26" t="n">
        <x:v>22</x:v>
      </x:c>
      <x:c r="M109" s="26" t="n">
        <x:v>7</x:v>
      </x:c>
      <x:c r="N109" s="7" t="str">
        <x:v>ORDER NOW</x:v>
      </x:c>
      <x:c r="O109" s="7" t="str">
        <x:v>1 on hand; 22 total demand in 90d</x:v>
      </x:c>
    </x:row>
    <x:row r="110" ht="20" customHeight="1">
      <x:c r="A110" s="7" t="n">
        <x:v>104</x:v>
      </x:c>
      <x:c r="B110" s="27" t="str">
        <x:f>"0181275819"</x:f>
        <x:v>0181275819</x:v>
      </x:c>
      <x:c r="C110" s="7" t="str">
        <x:v>77S 600/250</x:v>
      </x:c>
      <x:c r="D110" s="28" t="str">
        <x:v>GO</x:v>
      </x:c>
      <x:c r="E110" s="7" t="str">
        <x:v>Keep draft</x:v>
      </x:c>
      <x:c r="F110" s="26" t="n">
        <x:v>8</x:v>
      </x:c>
      <x:c r="G110" s="26" t="n">
        <x:v>8</x:v>
      </x:c>
      <x:c r="H110" s="26" t="n">
        <x:v>1</x:v>
      </x:c>
      <x:c r="I110" s="26" t="n">
        <x:v>24</x:v>
      </x:c>
      <x:c r="J110" s="26" t="n">
        <x:v>41</x:v>
      </x:c>
      <x:c r="K110" s="26" t="n">
        <x:v>1</x:v>
      </x:c>
      <x:c r="L110" s="26" t="n">
        <x:v>21</x:v>
      </x:c>
      <x:c r="M110" s="26" t="n">
        <x:v>6</x:v>
      </x:c>
      <x:c r="N110" s="7" t="str">
        <x:v>ORDER NOW</x:v>
      </x:c>
      <x:c r="O110" s="7" t="str">
        <x:v>1 on hand; 21 total demand in 90d</x:v>
      </x:c>
    </x:row>
    <x:row r="111" ht="20" customHeight="1">
      <x:c r="A111" s="7" t="n">
        <x:v>105</x:v>
      </x:c>
      <x:c r="B111" s="27" t="str">
        <x:f>"0181275843"</x:f>
        <x:v>0181275843</x:v>
      </x:c>
      <x:c r="C111" s="7" t="str">
        <x:v>77S 600/275</x:v>
      </x:c>
      <x:c r="D111" s="28" t="str">
        <x:v>GO</x:v>
      </x:c>
      <x:c r="E111" s="7" t="str">
        <x:v>Keep draft</x:v>
      </x:c>
      <x:c r="F111" s="26" t="n">
        <x:v>6</x:v>
      </x:c>
      <x:c r="G111" s="26" t="n">
        <x:v>6</x:v>
      </x:c>
      <x:c r="H111" s="26" t="n">
        <x:v>1</x:v>
      </x:c>
      <x:c r="I111" s="26" t="n">
        <x:v>22</x:v>
      </x:c>
      <x:c r="J111" s="26" t="n">
        <x:v>19</x:v>
      </x:c>
      <x:c r="K111" s="26" t="n">
        <x:v>0</x:v>
      </x:c>
      <x:c r="L111" s="26" t="n">
        <x:v>12</x:v>
      </x:c>
      <x:c r="M111" s="26" t="n">
        <x:v>6</x:v>
      </x:c>
      <x:c r="N111" s="7" t="str">
        <x:v>ORDER NOW</x:v>
      </x:c>
      <x:c r="O111" s="7" t="str">
        <x:v>1 on hand; 12 total demand in 90d</x:v>
      </x:c>
    </x:row>
    <x:row r="112" ht="20" customHeight="1">
      <x:c r="A112" s="7" t="n">
        <x:v>106</x:v>
      </x:c>
      <x:c r="B112" s="27" t="str">
        <x:f>"0181275835"</x:f>
        <x:v>0181275835</x:v>
      </x:c>
      <x:c r="C112" s="7" t="str">
        <x:v>77S 600/275</x:v>
      </x:c>
      <x:c r="D112" s="28" t="str">
        <x:v>GO</x:v>
      </x:c>
      <x:c r="E112" s="7" t="str">
        <x:v>Keep draft</x:v>
      </x:c>
      <x:c r="F112" s="26" t="n">
        <x:v>6</x:v>
      </x:c>
      <x:c r="G112" s="26" t="n">
        <x:v>6</x:v>
      </x:c>
      <x:c r="H112" s="26" t="n">
        <x:v>1</x:v>
      </x:c>
      <x:c r="I112" s="26" t="n">
        <x:v>22</x:v>
      </x:c>
      <x:c r="J112" s="26" t="n">
        <x:v>20</x:v>
      </x:c>
      <x:c r="K112" s="26" t="n">
        <x:v>1</x:v>
      </x:c>
      <x:c r="L112" s="26" t="n">
        <x:v>11</x:v>
      </x:c>
      <x:c r="M112" s="26" t="n">
        <x:v>2</x:v>
      </x:c>
      <x:c r="N112" s="7" t="str">
        <x:v>ORDER NOW</x:v>
      </x:c>
      <x:c r="O112" s="7" t="str">
        <x:v>1 on hand; 11 total demand in 90d</x:v>
      </x:c>
    </x:row>
    <x:row r="113" ht="20" customHeight="1">
      <x:c r="A113" s="7" t="n">
        <x:v>107</x:v>
      </x:c>
      <x:c r="B113" s="27" t="str">
        <x:f>"0181276742"</x:f>
        <x:v>0181276742</x:v>
      </x:c>
      <x:c r="C113" s="7" t="str">
        <x:v>77S 450/200</x:v>
      </x:c>
      <x:c r="D113" s="28" t="str">
        <x:v>NO-GO</x:v>
      </x:c>
      <x:c r="E113" s="7" t="str">
        <x:v>Remove</x:v>
      </x:c>
      <x:c r="F113" s="26" t="n">
        <x:v>1</x:v>
      </x:c>
      <x:c r="G113" s="26" t="n">
        <x:v>0</x:v>
      </x:c>
      <x:c r="H113" s="26" t="n">
        <x:v>2</x:v>
      </x:c>
      <x:c r="I113" s="26" t="n">
        <x:v>4</x:v>
      </x:c>
      <x:c r="J113" s="26" t="n">
        <x:v>0</x:v>
      </x:c>
      <x:c r="K113" s="26" t="n">
        <x:v>0</x:v>
      </x:c>
      <x:c r="L113" s="26" t="n">
        <x:v>1</x:v>
      </x:c>
      <x:c r="M113" s="26" t="n">
        <x:v>2</x:v>
      </x:c>
      <x:c r="N113" s="7" t="str">
        <x:v>COVERED</x:v>
      </x:c>
      <x:c r="O113" s="7" t="str">
        <x:v>2 on hand covers 2-lens target</x:v>
      </x:c>
    </x:row>
    <x:row r="114" ht="20" customHeight="1">
      <x:c r="A114" s="7" t="n">
        <x:v>108</x:v>
      </x:c>
      <x:c r="B114" s="27" t="str">
        <x:f>"0181276734"</x:f>
        <x:v>0181276734</x:v>
      </x:c>
      <x:c r="C114" s="7" t="str">
        <x:v>77S 450/200</x:v>
      </x:c>
      <x:c r="D114" s="28" t="str">
        <x:v>NO-GO</x:v>
      </x:c>
      <x:c r="E114" s="7" t="str">
        <x:v>Remove</x:v>
      </x:c>
      <x:c r="F114" s="26" t="n">
        <x:v>1</x:v>
      </x:c>
      <x:c r="G114" s="26" t="n">
        <x:v>0</x:v>
      </x:c>
      <x:c r="H114" s="26" t="n">
        <x:v>2</x:v>
      </x:c>
      <x:c r="I114" s="26" t="n">
        <x:v>4</x:v>
      </x:c>
      <x:c r="J114" s="26" t="n">
        <x:v>0</x:v>
      </x:c>
      <x:c r="K114" s="26" t="n">
        <x:v>0</x:v>
      </x:c>
      <x:c r="L114" s="26" t="n">
        <x:v>1</x:v>
      </x:c>
      <x:c r="M114" s="26" t="n">
        <x:v>2</x:v>
      </x:c>
      <x:c r="N114" s="7" t="str">
        <x:v>COVERED</x:v>
      </x:c>
      <x:c r="O114" s="7" t="str">
        <x:v>2 on hand covers 2-lens target</x:v>
      </x:c>
    </x:row>
    <x:row r="115" ht="20" customHeight="1">
      <x:c r="A115" s="7" t="n">
        <x:v>109</x:v>
      </x:c>
      <x:c r="B115" s="27" t="str">
        <x:f>"0181276767"</x:f>
        <x:v>0181276767</x:v>
      </x:c>
      <x:c r="C115" s="7" t="str">
        <x:v>77S 450/225</x:v>
      </x:c>
      <x:c r="D115" s="28" t="str">
        <x:v>GO</x:v>
      </x:c>
      <x:c r="E115" s="7" t="str">
        <x:v>Keep draft</x:v>
      </x:c>
      <x:c r="F115" s="26" t="n">
        <x:v>2</x:v>
      </x:c>
      <x:c r="G115" s="26" t="n">
        <x:v>2</x:v>
      </x:c>
      <x:c r="H115" s="26" t="n">
        <x:v>1</x:v>
      </x:c>
      <x:c r="I115" s="26" t="n">
        <x:v>9</x:v>
      </x:c>
      <x:c r="J115" s="26" t="n">
        <x:v>0</x:v>
      </x:c>
      <x:c r="K115" s="26" t="n">
        <x:v>0</x:v>
      </x:c>
      <x:c r="L115" s="26" t="n">
        <x:v>3</x:v>
      </x:c>
      <x:c r="M115" s="26" t="n">
        <x:v>1</x:v>
      </x:c>
      <x:c r="N115" s="7" t="str">
        <x:v>ORDER NOW</x:v>
      </x:c>
      <x:c r="O115" s="7" t="str">
        <x:v>1 on hand; 3 total demand in 90d</x:v>
      </x:c>
    </x:row>
    <x:row r="116" ht="20" customHeight="1">
      <x:c r="A116" s="7" t="n">
        <x:v>110</x:v>
      </x:c>
      <x:c r="B116" s="27" t="str">
        <x:f>"0181276759"</x:f>
        <x:v>0181276759</x:v>
      </x:c>
      <x:c r="C116" s="7" t="str">
        <x:v>77S 450/225</x:v>
      </x:c>
      <x:c r="D116" s="28" t="str">
        <x:v>GO</x:v>
      </x:c>
      <x:c r="E116" s="7" t="str">
        <x:v>Keep draft</x:v>
      </x:c>
      <x:c r="F116" s="26" t="n">
        <x:v>2</x:v>
      </x:c>
      <x:c r="G116" s="26" t="n">
        <x:v>2</x:v>
      </x:c>
      <x:c r="H116" s="26" t="n">
        <x:v>2</x:v>
      </x:c>
      <x:c r="I116" s="26" t="n">
        <x:v>9</x:v>
      </x:c>
      <x:c r="J116" s="26" t="n">
        <x:v>0</x:v>
      </x:c>
      <x:c r="K116" s="26" t="n">
        <x:v>0</x:v>
      </x:c>
      <x:c r="L116" s="26" t="n">
        <x:v>3</x:v>
      </x:c>
      <x:c r="M116" s="26" t="n">
        <x:v>0</x:v>
      </x:c>
      <x:c r="N116" s="7" t="str">
        <x:v>NEXT CYCLE</x:v>
      </x:c>
      <x:c r="O116" s="7" t="str">
        <x:v>2 on hand; 3 total demand in 90d</x:v>
      </x:c>
    </x:row>
    <x:row r="117" ht="20" customHeight="1">
      <x:c r="A117" s="7" t="n">
        <x:v>111</x:v>
      </x:c>
      <x:c r="B117" s="27" t="str">
        <x:f>"0181276783"</x:f>
        <x:v>0181276783</x:v>
      </x:c>
      <x:c r="C117" s="7" t="str">
        <x:v>77S 450/250</x:v>
      </x:c>
      <x:c r="D117" s="28" t="str">
        <x:v>NO-GO</x:v>
      </x:c>
      <x:c r="E117" s="7" t="str">
        <x:v>Reduce</x:v>
      </x:c>
      <x:c r="F117" s="26" t="n">
        <x:v>2</x:v>
      </x:c>
      <x:c r="G117" s="26" t="n">
        <x:v>1</x:v>
      </x:c>
      <x:c r="H117" s="26" t="n">
        <x:v>2</x:v>
      </x:c>
      <x:c r="I117" s="26" t="n">
        <x:v>7</x:v>
      </x:c>
      <x:c r="J117" s="26" t="n">
        <x:v>0</x:v>
      </x:c>
      <x:c r="K117" s="26" t="n">
        <x:v>0</x:v>
      </x:c>
      <x:c r="L117" s="26" t="n">
        <x:v>1</x:v>
      </x:c>
      <x:c r="M117" s="26" t="n">
        <x:v>0</x:v>
      </x:c>
      <x:c r="N117" s="7" t="str">
        <x:v>NEXT CYCLE</x:v>
      </x:c>
      <x:c r="O117" s="7" t="str">
        <x:v>2 on hand; 1 total demand in 90d</x:v>
      </x:c>
    </x:row>
    <x:row r="118" ht="20" customHeight="1">
      <x:c r="A118" s="7" t="n">
        <x:v>112</x:v>
      </x:c>
      <x:c r="B118" s="27" t="str">
        <x:f>"0181276809"</x:f>
        <x:v>0181276809</x:v>
      </x:c>
      <x:c r="C118" s="7" t="str">
        <x:v>77S 450/275</x:v>
      </x:c>
      <x:c r="D118" s="28" t="str">
        <x:v>NO-GO</x:v>
      </x:c>
      <x:c r="E118" s="7" t="str">
        <x:v>Reduce</x:v>
      </x:c>
      <x:c r="F118" s="26" t="n">
        <x:v>4</x:v>
      </x:c>
      <x:c r="G118" s="26" t="n">
        <x:v>3</x:v>
      </x:c>
      <x:c r="H118" s="26" t="n">
        <x:v>0</x:v>
      </x:c>
      <x:c r="I118" s="26" t="n">
        <x:v>7</x:v>
      </x:c>
      <x:c r="J118" s="26" t="n">
        <x:v>0</x:v>
      </x:c>
      <x:c r="K118" s="26" t="n">
        <x:v>0</x:v>
      </x:c>
      <x:c r="L118" s="26" t="n">
        <x:v>3</x:v>
      </x:c>
      <x:c r="M118" s="26" t="n">
        <x:v>14</x:v>
      </x:c>
      <x:c r="N118" s="7" t="str">
        <x:v>ORDER NOW</x:v>
      </x:c>
      <x:c r="O118" s="7" t="str">
        <x:v>0 on hand; 3 total demand in 90d</x:v>
      </x:c>
    </x:row>
    <x:row r="119" ht="20" customHeight="1">
      <x:c r="A119" s="7" t="n">
        <x:v>113</x:v>
      </x:c>
      <x:c r="B119" s="27" t="str">
        <x:f>"0181276791"</x:f>
        <x:v>0181276791</x:v>
      </x:c>
      <x:c r="C119" s="7" t="str">
        <x:v>77S 450/275</x:v>
      </x:c>
      <x:c r="D119" s="28" t="str">
        <x:v>NO-GO</x:v>
      </x:c>
      <x:c r="E119" s="7" t="str">
        <x:v>Reduce</x:v>
      </x:c>
      <x:c r="F119" s="26" t="n">
        <x:v>4</x:v>
      </x:c>
      <x:c r="G119" s="26" t="n">
        <x:v>3</x:v>
      </x:c>
      <x:c r="H119" s="26" t="n">
        <x:v>0</x:v>
      </x:c>
      <x:c r="I119" s="26" t="n">
        <x:v>7</x:v>
      </x:c>
      <x:c r="J119" s="26" t="n">
        <x:v>0</x:v>
      </x:c>
      <x:c r="K119" s="26" t="n">
        <x:v>0</x:v>
      </x:c>
      <x:c r="L119" s="26" t="n">
        <x:v>3</x:v>
      </x:c>
      <x:c r="M119" s="26" t="n">
        <x:v>14</x:v>
      </x:c>
      <x:c r="N119" s="7" t="str">
        <x:v>ORDER NOW</x:v>
      </x:c>
      <x:c r="O119" s="7" t="str">
        <x:v>0 on hand; 3 total demand in 90d</x:v>
      </x:c>
    </x:row>
    <x:row r="120" ht="20" customHeight="1">
      <x:c r="A120" s="7" t="n">
        <x:v>114</x:v>
      </x:c>
      <x:c r="B120" s="27" t="str">
        <x:f>"0181277013"</x:f>
        <x:v>0181277013</x:v>
      </x:c>
      <x:c r="C120" s="7" t="str">
        <x:v>77S 600/250</x:v>
      </x:c>
      <x:c r="D120" s="28" t="str">
        <x:v>NO-GO</x:v>
      </x:c>
      <x:c r="E120" s="7" t="str">
        <x:v>Remove</x:v>
      </x:c>
      <x:c r="F120" s="26" t="n">
        <x:v>1</x:v>
      </x:c>
      <x:c r="G120" s="26" t="n">
        <x:v>0</x:v>
      </x:c>
      <x:c r="H120" s="26" t="n">
        <x:v>3</x:v>
      </x:c>
      <x:c r="I120" s="26" t="n">
        <x:v>4</x:v>
      </x:c>
      <x:c r="J120" s="26" t="n">
        <x:v>0</x:v>
      </x:c>
      <x:c r="K120" s="26" t="n">
        <x:v>0</x:v>
      </x:c>
      <x:c r="L120" s="26" t="n">
        <x:v>1</x:v>
      </x:c>
      <x:c r="M120" s="26" t="n">
        <x:v>1</x:v>
      </x:c>
      <x:c r="N120" s="7" t="str">
        <x:v>COVERED</x:v>
      </x:c>
      <x:c r="O120" s="7" t="str">
        <x:v>3 on hand covers 2-lens target</x:v>
      </x:c>
    </x:row>
    <x:row r="121" ht="20" customHeight="1">
      <x:c r="A121" s="7" t="n">
        <x:v>115</x:v>
      </x:c>
      <x:c r="B121" s="27" t="str">
        <x:f>"0217897883"</x:f>
        <x:v>0217897883</x:v>
      </x:c>
      <x:c r="C121" s="7" t="str">
        <x:v>78S 175/125</x:v>
      </x:c>
      <x:c r="D121" s="28" t="str">
        <x:v>GO</x:v>
      </x:c>
      <x:c r="E121" s="7" t="str">
        <x:v>Keep draft</x:v>
      </x:c>
      <x:c r="F121" s="26" t="n">
        <x:v>2</x:v>
      </x:c>
      <x:c r="G121" s="26" t="n">
        <x:v>2</x:v>
      </x:c>
      <x:c r="H121" s="26" t="n">
        <x:v>1</x:v>
      </x:c>
      <x:c r="I121" s="26" t="n">
        <x:v>4</x:v>
      </x:c>
      <x:c r="J121" s="26" t="n">
        <x:v>0</x:v>
      </x:c>
      <x:c r="K121" s="26" t="n">
        <x:v>1</x:v>
      </x:c>
      <x:c r="L121" s="26" t="n">
        <x:v>2</x:v>
      </x:c>
      <x:c r="M121" s="26" t="n">
        <x:v>1</x:v>
      </x:c>
      <x:c r="N121" s="7" t="str">
        <x:v>NEXT CYCLE</x:v>
      </x:c>
      <x:c r="O121" s="7" t="str">
        <x:v>1 on hand; 2 total demand in 90d</x:v>
      </x:c>
    </x:row>
    <x:row r="122" ht="20" customHeight="1">
      <x:c r="A122" s="7" t="n">
        <x:v>116</x:v>
      </x:c>
      <x:c r="B122" s="27" t="str">
        <x:f>"0217897875"</x:f>
        <x:v>0217897875</x:v>
      </x:c>
      <x:c r="C122" s="7" t="str">
        <x:v>78S 175/125</x:v>
      </x:c>
      <x:c r="D122" s="28" t="str">
        <x:v>NO-GO</x:v>
      </x:c>
      <x:c r="E122" s="7" t="str">
        <x:v>Reduce</x:v>
      </x:c>
      <x:c r="F122" s="26" t="n">
        <x:v>2</x:v>
      </x:c>
      <x:c r="G122" s="26" t="n">
        <x:v>1</x:v>
      </x:c>
      <x:c r="H122" s="26" t="n">
        <x:v>1</x:v>
      </x:c>
      <x:c r="I122" s="26" t="n">
        <x:v>4</x:v>
      </x:c>
      <x:c r="J122" s="26" t="n">
        <x:v>0</x:v>
      </x:c>
      <x:c r="K122" s="26" t="n">
        <x:v>0</x:v>
      </x:c>
      <x:c r="L122" s="26" t="n">
        <x:v>1</x:v>
      </x:c>
      <x:c r="M122" s="26" t="n">
        <x:v>0</x:v>
      </x:c>
      <x:c r="N122" s="7" t="str">
        <x:v>NEXT CYCLE</x:v>
      </x:c>
      <x:c r="O122" s="7" t="str">
        <x:v>1 on hand; 1 total demand in 90d</x:v>
      </x:c>
    </x:row>
    <x:row r="123" ht="20" customHeight="1">
      <x:c r="A123" s="7" t="n">
        <x:v>117</x:v>
      </x:c>
      <x:c r="B123" s="27" t="str">
        <x:f>"0217897909"</x:f>
        <x:v>0217897909</x:v>
      </x:c>
      <x:c r="C123" s="7" t="str">
        <x:v>78S 175/150</x:v>
      </x:c>
      <x:c r="D123" s="28" t="str">
        <x:v>NO-GO</x:v>
      </x:c>
      <x:c r="E123" s="7" t="str">
        <x:v>Reduce</x:v>
      </x:c>
      <x:c r="F123" s="26" t="n">
        <x:v>3</x:v>
      </x:c>
      <x:c r="G123" s="26" t="n">
        <x:v>2</x:v>
      </x:c>
      <x:c r="H123" s="26" t="n">
        <x:v>0</x:v>
      </x:c>
      <x:c r="I123" s="26" t="n">
        <x:v>4</x:v>
      </x:c>
      <x:c r="J123" s="26" t="n">
        <x:v>1</x:v>
      </x:c>
      <x:c r="K123" s="26" t="n">
        <x:v>0</x:v>
      </x:c>
      <x:c r="L123" s="26" t="n">
        <x:v>1</x:v>
      </x:c>
      <x:c r="M123" s="26" t="n">
        <x:v>0</x:v>
      </x:c>
      <x:c r="N123" s="7" t="str">
        <x:v>ORDER NOW</x:v>
      </x:c>
      <x:c r="O123" s="7" t="str">
        <x:v>0 on hand; 1 total demand in 90d</x:v>
      </x:c>
    </x:row>
    <x:row r="124" ht="20" customHeight="1">
      <x:c r="A124" s="7" t="n">
        <x:v>118</x:v>
      </x:c>
      <x:c r="B124" s="27" t="str">
        <x:f>"0217897891"</x:f>
        <x:v>0217897891</x:v>
      </x:c>
      <x:c r="C124" s="7" t="str">
        <x:v>78S 175/150</x:v>
      </x:c>
      <x:c r="D124" s="28" t="str">
        <x:v>NO-GO</x:v>
      </x:c>
      <x:c r="E124" s="7" t="str">
        <x:v>Reduce</x:v>
      </x:c>
      <x:c r="F124" s="26" t="n">
        <x:v>3</x:v>
      </x:c>
      <x:c r="G124" s="26" t="n">
        <x:v>2</x:v>
      </x:c>
      <x:c r="H124" s="26" t="n">
        <x:v>0</x:v>
      </x:c>
      <x:c r="I124" s="26" t="n">
        <x:v>4</x:v>
      </x:c>
      <x:c r="J124" s="26" t="n">
        <x:v>1</x:v>
      </x:c>
      <x:c r="K124" s="26" t="n">
        <x:v>0</x:v>
      </x:c>
      <x:c r="L124" s="26" t="n">
        <x:v>1</x:v>
      </x:c>
      <x:c r="M124" s="26" t="n">
        <x:v>0</x:v>
      </x:c>
      <x:c r="N124" s="7" t="str">
        <x:v>ORDER NOW</x:v>
      </x:c>
      <x:c r="O124" s="7" t="str">
        <x:v>0 on hand; 1 total demand in 90d</x:v>
      </x:c>
    </x:row>
    <x:row r="125" ht="20" customHeight="1">
      <x:c r="A125" s="7" t="n">
        <x:v>119</x:v>
      </x:c>
      <x:c r="B125" s="27" t="str">
        <x:f>"0217897941"</x:f>
        <x:v>0217897941</x:v>
      </x:c>
      <x:c r="C125" s="7" t="str">
        <x:v>78S 175/200</x:v>
      </x:c>
      <x:c r="D125" s="28" t="str">
        <x:v>GO</x:v>
      </x:c>
      <x:c r="E125" s="7" t="str">
        <x:v>Keep draft</x:v>
      </x:c>
      <x:c r="F125" s="26" t="n">
        <x:v>1</x:v>
      </x:c>
      <x:c r="G125" s="26" t="n">
        <x:v>1</x:v>
      </x:c>
      <x:c r="H125" s="26" t="n">
        <x:v>2</x:v>
      </x:c>
      <x:c r="I125" s="26" t="n">
        <x:v>7</x:v>
      </x:c>
      <x:c r="J125" s="26" t="n">
        <x:v>2</x:v>
      </x:c>
      <x:c r="K125" s="26" t="n">
        <x:v>1</x:v>
      </x:c>
      <x:c r="L125" s="26" t="n">
        <x:v>1</x:v>
      </x:c>
      <x:c r="M125" s="26" t="n">
        <x:v>9</x:v>
      </x:c>
      <x:c r="N125" s="7" t="str">
        <x:v>NEXT CYCLE</x:v>
      </x:c>
      <x:c r="O125" s="7" t="str">
        <x:v>2 on hand; 1 total demand in 90d</x:v>
      </x:c>
    </x:row>
    <x:row r="126" ht="20" customHeight="1">
      <x:c r="A126" s="7" t="n">
        <x:v>120</x:v>
      </x:c>
      <x:c r="B126" s="27" t="str">
        <x:f>"0217897933"</x:f>
        <x:v>0217897933</x:v>
      </x:c>
      <x:c r="C126" s="7" t="str">
        <x:v>78S 175/200</x:v>
      </x:c>
      <x:c r="D126" s="28" t="str">
        <x:v>GO</x:v>
      </x:c>
      <x:c r="E126" s="7" t="str">
        <x:v>Keep draft</x:v>
      </x:c>
      <x:c r="F126" s="26" t="n">
        <x:v>1</x:v>
      </x:c>
      <x:c r="G126" s="26" t="n">
        <x:v>1</x:v>
      </x:c>
      <x:c r="H126" s="26" t="n">
        <x:v>2</x:v>
      </x:c>
      <x:c r="I126" s="26" t="n">
        <x:v>7</x:v>
      </x:c>
      <x:c r="J126" s="26" t="n">
        <x:v>2</x:v>
      </x:c>
      <x:c r="K126" s="26" t="n">
        <x:v>1</x:v>
      </x:c>
      <x:c r="L126" s="26" t="n">
        <x:v>1</x:v>
      </x:c>
      <x:c r="M126" s="26" t="n">
        <x:v>9</x:v>
      </x:c>
      <x:c r="N126" s="7" t="str">
        <x:v>NEXT CYCLE</x:v>
      </x:c>
      <x:c r="O126" s="7" t="str">
        <x:v>2 on hand; 1 total demand in 90d</x:v>
      </x:c>
    </x:row>
    <x:row r="127" ht="20" customHeight="1">
      <x:c r="A127" s="7" t="n">
        <x:v>121</x:v>
      </x:c>
      <x:c r="B127" s="27" t="str">
        <x:f>"0217897966"</x:f>
        <x:v>0217897966</x:v>
      </x:c>
      <x:c r="C127" s="7" t="str">
        <x:v>78S 175/225</x:v>
      </x:c>
      <x:c r="D127" s="28" t="str">
        <x:v>NO-GO</x:v>
      </x:c>
      <x:c r="E127" s="7" t="str">
        <x:v>Remove</x:v>
      </x:c>
      <x:c r="F127" s="26" t="n">
        <x:v>1</x:v>
      </x:c>
      <x:c r="G127" s="26" t="n">
        <x:v>0</x:v>
      </x:c>
      <x:c r="H127" s="26" t="n">
        <x:v>2</x:v>
      </x:c>
      <x:c r="I127" s="26" t="n">
        <x:v>3</x:v>
      </x:c>
      <x:c r="J127" s="26" t="n">
        <x:v>2</x:v>
      </x:c>
      <x:c r="K127" s="26" t="n">
        <x:v>0</x:v>
      </x:c>
      <x:c r="L127" s="26" t="n">
        <x:v>1</x:v>
      </x:c>
      <x:c r="M127" s="26" t="n">
        <x:v>0</x:v>
      </x:c>
      <x:c r="N127" s="7" t="str">
        <x:v>COVERED</x:v>
      </x:c>
      <x:c r="O127" s="7" t="str">
        <x:v>2 on hand covers 2-lens target</x:v>
      </x:c>
    </x:row>
    <x:row r="128" ht="20" customHeight="1">
      <x:c r="A128" s="7" t="n">
        <x:v>122</x:v>
      </x:c>
      <x:c r="B128" s="27" t="str">
        <x:f>"0217897958"</x:f>
        <x:v>0217897958</x:v>
      </x:c>
      <x:c r="C128" s="7" t="str">
        <x:v>78S 175/225</x:v>
      </x:c>
      <x:c r="D128" s="28" t="str">
        <x:v>NO-GO</x:v>
      </x:c>
      <x:c r="E128" s="7" t="str">
        <x:v>Remove</x:v>
      </x:c>
      <x:c r="F128" s="26" t="n">
        <x:v>1</x:v>
      </x:c>
      <x:c r="G128" s="26" t="n">
        <x:v>0</x:v>
      </x:c>
      <x:c r="H128" s="26" t="n">
        <x:v>2</x:v>
      </x:c>
      <x:c r="I128" s="26" t="n">
        <x:v>2</x:v>
      </x:c>
      <x:c r="J128" s="26" t="n">
        <x:v>3</x:v>
      </x:c>
      <x:c r="K128" s="26" t="n">
        <x:v>0</x:v>
      </x:c>
      <x:c r="L128" s="26" t="n">
        <x:v>1</x:v>
      </x:c>
      <x:c r="M128" s="26" t="n">
        <x:v>4</x:v>
      </x:c>
      <x:c r="N128" s="7" t="str">
        <x:v>COVERED</x:v>
      </x:c>
      <x:c r="O128" s="7" t="str">
        <x:v>2 on hand covers 2-lens target</x:v>
      </x:c>
    </x:row>
    <x:row r="129" ht="20" customHeight="1">
      <x:c r="A129" s="7" t="n">
        <x:v>123</x:v>
      </x:c>
      <x:c r="B129" s="27" t="str">
        <x:f>"0217897974"</x:f>
        <x:v>0217897974</x:v>
      </x:c>
      <x:c r="C129" s="7" t="str">
        <x:v>78S 175/250</x:v>
      </x:c>
      <x:c r="D129" s="28" t="str">
        <x:v>GO</x:v>
      </x:c>
      <x:c r="E129" s="7" t="str">
        <x:v>Keep draft</x:v>
      </x:c>
      <x:c r="F129" s="26" t="n">
        <x:v>3</x:v>
      </x:c>
      <x:c r="G129" s="26" t="n">
        <x:v>3</x:v>
      </x:c>
      <x:c r="H129" s="26" t="n">
        <x:v>1</x:v>
      </x:c>
      <x:c r="I129" s="26" t="n">
        <x:v>13</x:v>
      </x:c>
      <x:c r="J129" s="26" t="n">
        <x:v>6</x:v>
      </x:c>
      <x:c r="K129" s="26" t="n">
        <x:v>4</x:v>
      </x:c>
      <x:c r="L129" s="26" t="n">
        <x:v>4</x:v>
      </x:c>
      <x:c r="M129" s="26" t="n">
        <x:v>0</x:v>
      </x:c>
      <x:c r="N129" s="7" t="str">
        <x:v>ORDER NOW</x:v>
      </x:c>
      <x:c r="O129" s="7" t="str">
        <x:v>1 on hand; 4 total demand in 90d</x:v>
      </x:c>
    </x:row>
    <x:row r="130" ht="20" customHeight="1">
      <x:c r="A130" s="7" t="n">
        <x:v>124</x:v>
      </x:c>
      <x:c r="B130" s="27" t="str">
        <x:f>"0217898006"</x:f>
        <x:v>0217898006</x:v>
      </x:c>
      <x:c r="C130" s="7" t="str">
        <x:v>78S 175/275</x:v>
      </x:c>
      <x:c r="D130" s="28" t="str">
        <x:v>GO</x:v>
      </x:c>
      <x:c r="E130" s="7" t="str">
        <x:v>Keep draft</x:v>
      </x:c>
      <x:c r="F130" s="26" t="n">
        <x:v>3</x:v>
      </x:c>
      <x:c r="G130" s="26" t="n">
        <x:v>3</x:v>
      </x:c>
      <x:c r="H130" s="26" t="n">
        <x:v>1</x:v>
      </x:c>
      <x:c r="I130" s="26" t="n">
        <x:v>5</x:v>
      </x:c>
      <x:c r="J130" s="26" t="n">
        <x:v>3</x:v>
      </x:c>
      <x:c r="K130" s="26" t="n">
        <x:v>1</x:v>
      </x:c>
      <x:c r="L130" s="26" t="n">
        <x:v>2</x:v>
      </x:c>
      <x:c r="M130" s="26" t="n">
        <x:v>2</x:v>
      </x:c>
      <x:c r="N130" s="7" t="str">
        <x:v>ORDER NOW</x:v>
      </x:c>
      <x:c r="O130" s="7" t="str">
        <x:v>1 on hand; 2 total demand in 90d</x:v>
      </x:c>
    </x:row>
    <x:row r="131" ht="20" customHeight="1">
      <x:c r="A131" s="7" t="n">
        <x:v>125</x:v>
      </x:c>
      <x:c r="B131" s="27" t="str">
        <x:f>"0217897990"</x:f>
        <x:v>0217897990</x:v>
      </x:c>
      <x:c r="C131" s="7" t="str">
        <x:v>78S 175/275</x:v>
      </x:c>
      <x:c r="D131" s="28" t="str">
        <x:v>GO</x:v>
      </x:c>
      <x:c r="E131" s="7" t="str">
        <x:v>Keep draft</x:v>
      </x:c>
      <x:c r="F131" s="26" t="n">
        <x:v>3</x:v>
      </x:c>
      <x:c r="G131" s="26" t="n">
        <x:v>3</x:v>
      </x:c>
      <x:c r="H131" s="26" t="n">
        <x:v>1</x:v>
      </x:c>
      <x:c r="I131" s="26" t="n">
        <x:v>5</x:v>
      </x:c>
      <x:c r="J131" s="26" t="n">
        <x:v>3</x:v>
      </x:c>
      <x:c r="K131" s="26" t="n">
        <x:v>1</x:v>
      </x:c>
      <x:c r="L131" s="26" t="n">
        <x:v>2</x:v>
      </x:c>
      <x:c r="M131" s="26" t="n">
        <x:v>2</x:v>
      </x:c>
      <x:c r="N131" s="7" t="str">
        <x:v>ORDER NOW</x:v>
      </x:c>
      <x:c r="O131" s="7" t="str">
        <x:v>1 on hand; 2 total demand in 90d</x:v>
      </x:c>
    </x:row>
    <x:row r="132" ht="20" customHeight="1">
      <x:c r="A132" s="7" t="n">
        <x:v>126</x:v>
      </x:c>
      <x:c r="B132" s="27" t="str">
        <x:f>"0217898014"</x:f>
        <x:v>0217898014</x:v>
      </x:c>
      <x:c r="C132" s="7" t="str">
        <x:v>78S 175/300</x:v>
      </x:c>
      <x:c r="D132" s="28" t="str">
        <x:v>NO-GO</x:v>
      </x:c>
      <x:c r="E132" s="7" t="str">
        <x:v>Reduce</x:v>
      </x:c>
      <x:c r="F132" s="26" t="n">
        <x:v>2</x:v>
      </x:c>
      <x:c r="G132" s="26" t="n">
        <x:v>1</x:v>
      </x:c>
      <x:c r="H132" s="26" t="n">
        <x:v>2</x:v>
      </x:c>
      <x:c r="I132" s="26" t="n">
        <x:v>2</x:v>
      </x:c>
      <x:c r="J132" s="26" t="n">
        <x:v>1</x:v>
      </x:c>
      <x:c r="K132" s="26" t="n">
        <x:v>0</x:v>
      </x:c>
      <x:c r="L132" s="26" t="n">
        <x:v>1</x:v>
      </x:c>
      <x:c r="M132" s="26" t="n">
        <x:v>2</x:v>
      </x:c>
      <x:c r="N132" s="7" t="str">
        <x:v>NEXT CYCLE</x:v>
      </x:c>
      <x:c r="O132" s="7" t="str">
        <x:v>2 on hand; 1 total demand in 90d</x:v>
      </x:c>
    </x:row>
    <x:row r="133" ht="20" customHeight="1">
      <x:c r="A133" s="7" t="n">
        <x:v>127</x:v>
      </x:c>
      <x:c r="B133" s="27" t="str">
        <x:f>"0217898022"</x:f>
        <x:v>0217898022</x:v>
      </x:c>
      <x:c r="C133" s="7" t="str">
        <x:v>78S 175/300</x:v>
      </x:c>
      <x:c r="D133" s="28" t="str">
        <x:v>GO</x:v>
      </x:c>
      <x:c r="E133" s="7" t="str">
        <x:v>Keep draft</x:v>
      </x:c>
      <x:c r="F133" s="26" t="n">
        <x:v>1</x:v>
      </x:c>
      <x:c r="G133" s="26" t="n">
        <x:v>1</x:v>
      </x:c>
      <x:c r="H133" s="26" t="n">
        <x:v>1</x:v>
      </x:c>
      <x:c r="I133" s="26" t="n">
        <x:v>2</x:v>
      </x:c>
      <x:c r="J133" s="26" t="n">
        <x:v>1</x:v>
      </x:c>
      <x:c r="K133" s="26" t="n">
        <x:v>0</x:v>
      </x:c>
      <x:c r="L133" s="26" t="n">
        <x:v>2</x:v>
      </x:c>
      <x:c r="M133" s="26" t="n">
        <x:v>1</x:v>
      </x:c>
      <x:c r="N133" s="7" t="str">
        <x:v>ORDER NOW</x:v>
      </x:c>
      <x:c r="O133" s="7" t="str">
        <x:v>1 on hand; 2 total demand in 90d</x:v>
      </x:c>
    </x:row>
    <x:row r="134" ht="20" customHeight="1">
      <x:c r="A134" s="7" t="n">
        <x:v>128</x:v>
      </x:c>
      <x:c r="B134" s="27" t="str">
        <x:f>"0217898121"</x:f>
        <x:v>0217898121</x:v>
      </x:c>
      <x:c r="C134" s="7" t="str">
        <x:v>78S 300/125</x:v>
      </x:c>
      <x:c r="D134" s="28" t="str">
        <x:v>NO-GO</x:v>
      </x:c>
      <x:c r="E134" s="7" t="str">
        <x:v>Remove</x:v>
      </x:c>
      <x:c r="F134" s="26" t="n">
        <x:v>1</x:v>
      </x:c>
      <x:c r="G134" s="26" t="n">
        <x:v>0</x:v>
      </x:c>
      <x:c r="H134" s="26" t="n">
        <x:v>2</x:v>
      </x:c>
      <x:c r="I134" s="26" t="n">
        <x:v>1</x:v>
      </x:c>
      <x:c r="J134" s="26" t="n">
        <x:v>1</x:v>
      </x:c>
      <x:c r="K134" s="26" t="n">
        <x:v>0</x:v>
      </x:c>
      <x:c r="L134" s="26" t="n">
        <x:v>0</x:v>
      </x:c>
      <x:c r="M134" s="26" t="n">
        <x:v>2</x:v>
      </x:c>
      <x:c r="N134" s="7" t="str">
        <x:v>COVERED</x:v>
      </x:c>
      <x:c r="O134" s="7" t="str">
        <x:v>2 on hand covers 2-lens target</x:v>
      </x:c>
    </x:row>
    <x:row r="135" ht="20" customHeight="1">
      <x:c r="A135" s="7" t="n">
        <x:v>129</x:v>
      </x:c>
      <x:c r="B135" s="27" t="str">
        <x:f>"0217898113"</x:f>
        <x:v>0217898113</x:v>
      </x:c>
      <x:c r="C135" s="7" t="str">
        <x:v>78S 300/125</x:v>
      </x:c>
      <x:c r="D135" s="28" t="str">
        <x:v>NO-GO</x:v>
      </x:c>
      <x:c r="E135" s="7" t="str">
        <x:v>Remove</x:v>
      </x:c>
      <x:c r="F135" s="26" t="n">
        <x:v>1</x:v>
      </x:c>
      <x:c r="G135" s="26" t="n">
        <x:v>0</x:v>
      </x:c>
      <x:c r="H135" s="26" t="n">
        <x:v>2</x:v>
      </x:c>
      <x:c r="I135" s="26" t="n">
        <x:v>1</x:v>
      </x:c>
      <x:c r="J135" s="26" t="n">
        <x:v>1</x:v>
      </x:c>
      <x:c r="K135" s="26" t="n">
        <x:v>0</x:v>
      </x:c>
      <x:c r="L135" s="26" t="n">
        <x:v>0</x:v>
      </x:c>
      <x:c r="M135" s="26" t="n">
        <x:v>0</x:v>
      </x:c>
      <x:c r="N135" s="7" t="str">
        <x:v>COVERED</x:v>
      </x:c>
      <x:c r="O135" s="7" t="str">
        <x:v>2 on hand covers 2-lens target</x:v>
      </x:c>
    </x:row>
    <x:row r="136" ht="20" customHeight="1">
      <x:c r="A136" s="7" t="n">
        <x:v>130</x:v>
      </x:c>
      <x:c r="B136" s="27" t="str">
        <x:f>"0217898147"</x:f>
        <x:v>0217898147</x:v>
      </x:c>
      <x:c r="C136" s="7" t="str">
        <x:v>78S 300/150</x:v>
      </x:c>
      <x:c r="D136" s="28" t="str">
        <x:v>GO</x:v>
      </x:c>
      <x:c r="E136" s="7" t="str">
        <x:v>Keep draft</x:v>
      </x:c>
      <x:c r="F136" s="26" t="n">
        <x:v>3</x:v>
      </x:c>
      <x:c r="G136" s="26" t="n">
        <x:v>3</x:v>
      </x:c>
      <x:c r="H136" s="26" t="n">
        <x:v>0</x:v>
      </x:c>
      <x:c r="I136" s="26" t="n">
        <x:v>7</x:v>
      </x:c>
      <x:c r="J136" s="26" t="n">
        <x:v>0</x:v>
      </x:c>
      <x:c r="K136" s="26" t="n">
        <x:v>0</x:v>
      </x:c>
      <x:c r="L136" s="26" t="n">
        <x:v>1</x:v>
      </x:c>
      <x:c r="M136" s="26" t="n">
        <x:v>1</x:v>
      </x:c>
      <x:c r="N136" s="7" t="str">
        <x:v>ORDER NOW</x:v>
      </x:c>
      <x:c r="O136" s="7" t="str">
        <x:v>0 on hand; 1 total demand in 90d</x:v>
      </x:c>
    </x:row>
    <x:row r="137" ht="20" customHeight="1">
      <x:c r="A137" s="7" t="n">
        <x:v>131</x:v>
      </x:c>
      <x:c r="B137" s="27" t="str">
        <x:f>"0217898139"</x:f>
        <x:v>0217898139</x:v>
      </x:c>
      <x:c r="C137" s="7" t="str">
        <x:v>78S 300/150</x:v>
      </x:c>
      <x:c r="D137" s="28" t="str">
        <x:v>GO</x:v>
      </x:c>
      <x:c r="E137" s="7" t="str">
        <x:v>Keep draft</x:v>
      </x:c>
      <x:c r="F137" s="26" t="n">
        <x:v>3</x:v>
      </x:c>
      <x:c r="G137" s="26" t="n">
        <x:v>3</x:v>
      </x:c>
      <x:c r="H137" s="26" t="n">
        <x:v>0</x:v>
      </x:c>
      <x:c r="I137" s="26" t="n">
        <x:v>7</x:v>
      </x:c>
      <x:c r="J137" s="26" t="n">
        <x:v>0</x:v>
      </x:c>
      <x:c r="K137" s="26" t="n">
        <x:v>0</x:v>
      </x:c>
      <x:c r="L137" s="26" t="n">
        <x:v>1</x:v>
      </x:c>
      <x:c r="M137" s="26" t="n">
        <x:v>0</x:v>
      </x:c>
      <x:c r="N137" s="7" t="str">
        <x:v>ORDER NOW</x:v>
      </x:c>
      <x:c r="O137" s="7" t="str">
        <x:v>0 on hand; 1 total demand in 90d</x:v>
      </x:c>
    </x:row>
    <x:row r="138" ht="20" customHeight="1">
      <x:c r="A138" s="7" t="n">
        <x:v>132</x:v>
      </x:c>
      <x:c r="B138" s="27" t="str">
        <x:f>"0217898162"</x:f>
        <x:v>0217898162</x:v>
      </x:c>
      <x:c r="C138" s="7" t="str">
        <x:v>78S 300/175</x:v>
      </x:c>
      <x:c r="D138" s="28" t="str">
        <x:v>NO-GO</x:v>
      </x:c>
      <x:c r="E138" s="7" t="str">
        <x:v>Reduce</x:v>
      </x:c>
      <x:c r="F138" s="26" t="n">
        <x:v>2</x:v>
      </x:c>
      <x:c r="G138" s="26" t="n">
        <x:v>1</x:v>
      </x:c>
      <x:c r="H138" s="26" t="n">
        <x:v>1</x:v>
      </x:c>
      <x:c r="I138" s="26" t="n">
        <x:v>3</x:v>
      </x:c>
      <x:c r="J138" s="26" t="n">
        <x:v>2</x:v>
      </x:c>
      <x:c r="K138" s="26" t="n">
        <x:v>0</x:v>
      </x:c>
      <x:c r="L138" s="26" t="n">
        <x:v>0</x:v>
      </x:c>
      <x:c r="M138" s="26" t="n">
        <x:v>0</x:v>
      </x:c>
      <x:c r="N138" s="7" t="str">
        <x:v>NEXT CYCLE</x:v>
      </x:c>
      <x:c r="O138" s="7" t="str">
        <x:v>1 on hand; 0 total demand in 90d</x:v>
      </x:c>
    </x:row>
    <x:row r="139" ht="20" customHeight="1">
      <x:c r="A139" s="7" t="n">
        <x:v>133</x:v>
      </x:c>
      <x:c r="B139" s="27" t="str">
        <x:f>"0217898154"</x:f>
        <x:v>0217898154</x:v>
      </x:c>
      <x:c r="C139" s="7" t="str">
        <x:v>78S 300/175</x:v>
      </x:c>
      <x:c r="D139" s="28" t="str">
        <x:v>NO-GO</x:v>
      </x:c>
      <x:c r="E139" s="7" t="str">
        <x:v>Reduce</x:v>
      </x:c>
      <x:c r="F139" s="26" t="n">
        <x:v>2</x:v>
      </x:c>
      <x:c r="G139" s="26" t="n">
        <x:v>1</x:v>
      </x:c>
      <x:c r="H139" s="26" t="n">
        <x:v>1</x:v>
      </x:c>
      <x:c r="I139" s="26" t="n">
        <x:v>2</x:v>
      </x:c>
      <x:c r="J139" s="26" t="n">
        <x:v>2</x:v>
      </x:c>
      <x:c r="K139" s="26" t="n">
        <x:v>0</x:v>
      </x:c>
      <x:c r="L139" s="26" t="n">
        <x:v>0</x:v>
      </x:c>
      <x:c r="M139" s="26" t="n">
        <x:v>0</x:v>
      </x:c>
      <x:c r="N139" s="7" t="str">
        <x:v>NEXT CYCLE</x:v>
      </x:c>
      <x:c r="O139" s="7" t="str">
        <x:v>1 on hand; 0 total demand in 90d</x:v>
      </x:c>
    </x:row>
    <x:row r="140" ht="20" customHeight="1">
      <x:c r="A140" s="7" t="n">
        <x:v>134</x:v>
      </x:c>
      <x:c r="B140" s="27" t="str">
        <x:f>"0217898188"</x:f>
        <x:v>0217898188</x:v>
      </x:c>
      <x:c r="C140" s="7" t="str">
        <x:v>78S 300/200</x:v>
      </x:c>
      <x:c r="D140" s="28" t="str">
        <x:v>GO</x:v>
      </x:c>
      <x:c r="E140" s="7" t="str">
        <x:v>Keep draft</x:v>
      </x:c>
      <x:c r="F140" s="26" t="n">
        <x:v>2</x:v>
      </x:c>
      <x:c r="G140" s="26" t="n">
        <x:v>2</x:v>
      </x:c>
      <x:c r="H140" s="26" t="n">
        <x:v>1</x:v>
      </x:c>
      <x:c r="I140" s="26" t="n">
        <x:v>10</x:v>
      </x:c>
      <x:c r="J140" s="26" t="n">
        <x:v>2</x:v>
      </x:c>
      <x:c r="K140" s="26" t="n">
        <x:v>0</x:v>
      </x:c>
      <x:c r="L140" s="26" t="n">
        <x:v>4</x:v>
      </x:c>
      <x:c r="M140" s="26" t="n">
        <x:v>2</x:v>
      </x:c>
      <x:c r="N140" s="7" t="str">
        <x:v>ORDER NOW</x:v>
      </x:c>
      <x:c r="O140" s="7" t="str">
        <x:v>1 on hand; 4 total demand in 90d</x:v>
      </x:c>
    </x:row>
    <x:row r="141" ht="20" customHeight="1">
      <x:c r="A141" s="7" t="n">
        <x:v>135</x:v>
      </x:c>
      <x:c r="B141" s="27" t="str">
        <x:f>"0217898170"</x:f>
        <x:v>0217898170</x:v>
      </x:c>
      <x:c r="C141" s="7" t="str">
        <x:v>78S 300/200</x:v>
      </x:c>
      <x:c r="D141" s="28" t="str">
        <x:v>GO</x:v>
      </x:c>
      <x:c r="E141" s="7" t="str">
        <x:v>Keep draft</x:v>
      </x:c>
      <x:c r="F141" s="26" t="n">
        <x:v>2</x:v>
      </x:c>
      <x:c r="G141" s="26" t="n">
        <x:v>2</x:v>
      </x:c>
      <x:c r="H141" s="26" t="n">
        <x:v>1</x:v>
      </x:c>
      <x:c r="I141" s="26" t="n">
        <x:v>9</x:v>
      </x:c>
      <x:c r="J141" s="26" t="n">
        <x:v>2</x:v>
      </x:c>
      <x:c r="K141" s="26" t="n">
        <x:v>1</x:v>
      </x:c>
      <x:c r="L141" s="26" t="n">
        <x:v>4</x:v>
      </x:c>
      <x:c r="M141" s="26" t="n">
        <x:v>0</x:v>
      </x:c>
      <x:c r="N141" s="7" t="str">
        <x:v>ORDER NOW</x:v>
      </x:c>
      <x:c r="O141" s="7" t="str">
        <x:v>1 on hand; 4 total demand in 90d</x:v>
      </x:c>
    </x:row>
    <x:row r="142" ht="20" customHeight="1">
      <x:c r="A142" s="7" t="n">
        <x:v>136</x:v>
      </x:c>
      <x:c r="B142" s="27" t="str">
        <x:f>"0217898204"</x:f>
        <x:v>0217898204</x:v>
      </x:c>
      <x:c r="C142" s="7" t="str">
        <x:v>78S 300/225</x:v>
      </x:c>
      <x:c r="D142" s="28" t="str">
        <x:v>GO</x:v>
      </x:c>
      <x:c r="E142" s="7" t="str">
        <x:v>Keep draft</x:v>
      </x:c>
      <x:c r="F142" s="26" t="n">
        <x:v>1</x:v>
      </x:c>
      <x:c r="G142" s="26" t="n">
        <x:v>1</x:v>
      </x:c>
      <x:c r="H142" s="26" t="n">
        <x:v>2</x:v>
      </x:c>
      <x:c r="I142" s="26" t="n">
        <x:v>8</x:v>
      </x:c>
      <x:c r="J142" s="26" t="n">
        <x:v>2</x:v>
      </x:c>
      <x:c r="K142" s="26" t="n">
        <x:v>1</x:v>
      </x:c>
      <x:c r="L142" s="26" t="n">
        <x:v>2</x:v>
      </x:c>
      <x:c r="M142" s="26" t="n">
        <x:v>0</x:v>
      </x:c>
      <x:c r="N142" s="7" t="str">
        <x:v>NEXT CYCLE</x:v>
      </x:c>
      <x:c r="O142" s="7" t="str">
        <x:v>2 on hand; 2 total demand in 90d</x:v>
      </x:c>
    </x:row>
    <x:row r="143" ht="20" customHeight="1">
      <x:c r="A143" s="7" t="n">
        <x:v>137</x:v>
      </x:c>
      <x:c r="B143" s="27" t="str">
        <x:f>"0217898196"</x:f>
        <x:v>0217898196</x:v>
      </x:c>
      <x:c r="C143" s="7" t="str">
        <x:v>78S 300/225</x:v>
      </x:c>
      <x:c r="D143" s="28" t="str">
        <x:v>GO</x:v>
      </x:c>
      <x:c r="E143" s="7" t="str">
        <x:v>Keep draft</x:v>
      </x:c>
      <x:c r="F143" s="26" t="n">
        <x:v>1</x:v>
      </x:c>
      <x:c r="G143" s="26" t="n">
        <x:v>1</x:v>
      </x:c>
      <x:c r="H143" s="26" t="n">
        <x:v>2</x:v>
      </x:c>
      <x:c r="I143" s="26" t="n">
        <x:v>7</x:v>
      </x:c>
      <x:c r="J143" s="26" t="n">
        <x:v>2</x:v>
      </x:c>
      <x:c r="K143" s="26" t="n">
        <x:v>0</x:v>
      </x:c>
      <x:c r="L143" s="26" t="n">
        <x:v>2</x:v>
      </x:c>
      <x:c r="M143" s="26" t="n">
        <x:v>0</x:v>
      </x:c>
      <x:c r="N143" s="7" t="str">
        <x:v>NEXT CYCLE</x:v>
      </x:c>
      <x:c r="O143" s="7" t="str">
        <x:v>2 on hand; 2 total demand in 90d</x:v>
      </x:c>
    </x:row>
    <x:row r="144" ht="20" customHeight="1">
      <x:c r="A144" s="7" t="n">
        <x:v>138</x:v>
      </x:c>
      <x:c r="B144" s="27" t="str">
        <x:f>"0217898212"</x:f>
        <x:v>0217898212</x:v>
      </x:c>
      <x:c r="C144" s="7" t="str">
        <x:v>78S 300/250</x:v>
      </x:c>
      <x:c r="D144" s="28" t="str">
        <x:v>GO</x:v>
      </x:c>
      <x:c r="E144" s="7" t="str">
        <x:v>Keep draft</x:v>
      </x:c>
      <x:c r="F144" s="26" t="n">
        <x:v>1</x:v>
      </x:c>
      <x:c r="G144" s="26" t="n">
        <x:v>1</x:v>
      </x:c>
      <x:c r="H144" s="26" t="n">
        <x:v>2</x:v>
      </x:c>
      <x:c r="I144" s="26" t="n">
        <x:v>6</x:v>
      </x:c>
      <x:c r="J144" s="26" t="n">
        <x:v>4</x:v>
      </x:c>
      <x:c r="K144" s="26" t="n">
        <x:v>1</x:v>
      </x:c>
      <x:c r="L144" s="26" t="n">
        <x:v>3</x:v>
      </x:c>
      <x:c r="M144" s="26" t="n">
        <x:v>3</x:v>
      </x:c>
      <x:c r="N144" s="7" t="str">
        <x:v>ORDER NOW</x:v>
      </x:c>
      <x:c r="O144" s="7" t="str">
        <x:v>2 on hand; 3 total demand in 90d</x:v>
      </x:c>
    </x:row>
    <x:row r="145" ht="20" customHeight="1">
      <x:c r="A145" s="7" t="n">
        <x:v>139</x:v>
      </x:c>
      <x:c r="B145" s="27" t="str">
        <x:f>"0217898246"</x:f>
        <x:v>0217898246</x:v>
      </x:c>
      <x:c r="C145" s="7" t="str">
        <x:v>78S 300/275</x:v>
      </x:c>
      <x:c r="D145" s="28" t="str">
        <x:v>GO</x:v>
      </x:c>
      <x:c r="E145" s="7" t="str">
        <x:v>Keep draft</x:v>
      </x:c>
      <x:c r="F145" s="26" t="n">
        <x:v>2</x:v>
      </x:c>
      <x:c r="G145" s="26" t="n">
        <x:v>2</x:v>
      </x:c>
      <x:c r="H145" s="26" t="n">
        <x:v>1</x:v>
      </x:c>
      <x:c r="I145" s="26" t="n">
        <x:v>1</x:v>
      </x:c>
      <x:c r="J145" s="26" t="n">
        <x:v>5</x:v>
      </x:c>
      <x:c r="K145" s="26" t="n">
        <x:v>0</x:v>
      </x:c>
      <x:c r="L145" s="26" t="n">
        <x:v>4</x:v>
      </x:c>
      <x:c r="M145" s="26" t="n">
        <x:v>0</x:v>
      </x:c>
      <x:c r="N145" s="7" t="str">
        <x:v>ORDER NOW</x:v>
      </x:c>
      <x:c r="O145" s="7" t="str">
        <x:v>1 on hand; 4 total demand in 90d</x:v>
      </x:c>
    </x:row>
    <x:row r="146" ht="20" customHeight="1">
      <x:c r="A146" s="7" t="n">
        <x:v>140</x:v>
      </x:c>
      <x:c r="B146" s="27" t="str">
        <x:f>"0217898238"</x:f>
        <x:v>0217898238</x:v>
      </x:c>
      <x:c r="C146" s="7" t="str">
        <x:v>78S 300/275</x:v>
      </x:c>
      <x:c r="D146" s="28" t="str">
        <x:v>GO</x:v>
      </x:c>
      <x:c r="E146" s="7" t="str">
        <x:v>Keep draft</x:v>
      </x:c>
      <x:c r="F146" s="26" t="n">
        <x:v>2</x:v>
      </x:c>
      <x:c r="G146" s="26" t="n">
        <x:v>2</x:v>
      </x:c>
      <x:c r="H146" s="26" t="n">
        <x:v>1</x:v>
      </x:c>
      <x:c r="I146" s="26" t="n">
        <x:v>0</x:v>
      </x:c>
      <x:c r="J146" s="26" t="n">
        <x:v>5</x:v>
      </x:c>
      <x:c r="K146" s="26" t="n">
        <x:v>1</x:v>
      </x:c>
      <x:c r="L146" s="26" t="n">
        <x:v>4</x:v>
      </x:c>
      <x:c r="M146" s="26" t="n">
        <x:v>14</x:v>
      </x:c>
      <x:c r="N146" s="7" t="str">
        <x:v>ORDER NOW</x:v>
      </x:c>
      <x:c r="O146" s="7" t="str">
        <x:v>1 on hand; 4 total demand in 90d</x:v>
      </x:c>
    </x:row>
    <x:row r="147" ht="20" customHeight="1">
      <x:c r="A147" s="7" t="n">
        <x:v>141</x:v>
      </x:c>
      <x:c r="B147" s="27" t="str">
        <x:f>"0217898485"</x:f>
        <x:v>0217898485</x:v>
      </x:c>
      <x:c r="C147" s="7" t="str">
        <x:v>78S 450/275</x:v>
      </x:c>
      <x:c r="D147" s="28" t="str">
        <x:v>GO</x:v>
      </x:c>
      <x:c r="E147" s="7" t="str">
        <x:v>Keep draft</x:v>
      </x:c>
      <x:c r="F147" s="26" t="n">
        <x:v>2</x:v>
      </x:c>
      <x:c r="G147" s="26" t="n">
        <x:v>2</x:v>
      </x:c>
      <x:c r="H147" s="26" t="n">
        <x:v>1</x:v>
      </x:c>
      <x:c r="I147" s="26" t="n">
        <x:v>3</x:v>
      </x:c>
      <x:c r="J147" s="26" t="n">
        <x:v>3</x:v>
      </x:c>
      <x:c r="K147" s="26" t="n">
        <x:v>0</x:v>
      </x:c>
      <x:c r="L147" s="26" t="n">
        <x:v>3</x:v>
      </x:c>
      <x:c r="M147" s="26" t="n">
        <x:v>0</x:v>
      </x:c>
      <x:c r="N147" s="7" t="str">
        <x:v>ORDER NOW</x:v>
      </x:c>
      <x:c r="O147" s="7" t="str">
        <x:v>1 on hand; 3 total demand in 90d</x:v>
      </x:c>
    </x:row>
    <x:row r="148" ht="20" customHeight="1">
      <x:c r="A148" s="7" t="n">
        <x:v>142</x:v>
      </x:c>
      <x:c r="B148" s="27" t="str">
        <x:f>"0217898477"</x:f>
        <x:v>0217898477</x:v>
      </x:c>
      <x:c r="C148" s="7" t="str">
        <x:v>78S 450/275</x:v>
      </x:c>
      <x:c r="D148" s="28" t="str">
        <x:v>GO</x:v>
      </x:c>
      <x:c r="E148" s="7" t="str">
        <x:v>Keep draft</x:v>
      </x:c>
      <x:c r="F148" s="26" t="n">
        <x:v>2</x:v>
      </x:c>
      <x:c r="G148" s="26" t="n">
        <x:v>2</x:v>
      </x:c>
      <x:c r="H148" s="26" t="n">
        <x:v>1</x:v>
      </x:c>
      <x:c r="I148" s="26" t="n">
        <x:v>3</x:v>
      </x:c>
      <x:c r="J148" s="26" t="n">
        <x:v>3</x:v>
      </x:c>
      <x:c r="K148" s="26" t="n">
        <x:v>0</x:v>
      </x:c>
      <x:c r="L148" s="26" t="n">
        <x:v>3</x:v>
      </x:c>
      <x:c r="M148" s="26" t="n">
        <x:v>0</x:v>
      </x:c>
      <x:c r="N148" s="7" t="str">
        <x:v>ORDER NOW</x:v>
      </x:c>
      <x:c r="O148" s="7" t="str">
        <x:v>1 on hand; 3 total demand in 90d</x:v>
      </x:c>
    </x:row>
    <x:row r="149" ht="20" customHeight="1">
      <x:c r="A149" s="7" t="n">
        <x:v>143</x:v>
      </x:c>
      <x:c r="B149" s="27" t="str">
        <x:f>"0217898709"</x:f>
        <x:v>0217898709</x:v>
      </x:c>
      <x:c r="C149" s="7" t="str">
        <x:v>78S 550/250</x:v>
      </x:c>
      <x:c r="D149" s="28" t="str">
        <x:v>GO</x:v>
      </x:c>
      <x:c r="E149" s="7" t="str">
        <x:v>Keep draft</x:v>
      </x:c>
      <x:c r="F149" s="26" t="n">
        <x:v>2</x:v>
      </x:c>
      <x:c r="G149" s="26" t="n">
        <x:v>2</x:v>
      </x:c>
      <x:c r="H149" s="26" t="n">
        <x:v>1</x:v>
      </x:c>
      <x:c r="I149" s="26" t="n">
        <x:v>11</x:v>
      </x:c>
      <x:c r="J149" s="26" t="n">
        <x:v>0</x:v>
      </x:c>
      <x:c r="K149" s="26" t="n">
        <x:v>0</x:v>
      </x:c>
      <x:c r="L149" s="26" t="n">
        <x:v>5</x:v>
      </x:c>
      <x:c r="M149" s="26" t="n">
        <x:v>6</x:v>
      </x:c>
      <x:c r="N149" s="7" t="str">
        <x:v>ORDER NOW</x:v>
      </x:c>
      <x:c r="O149" s="7" t="str">
        <x:v>1 on hand; 5 total demand in 90d</x:v>
      </x:c>
    </x:row>
    <x:row r="150" ht="20" customHeight="1">
      <x:c r="A150" s="7" t="n">
        <x:v>144</x:v>
      </x:c>
      <x:c r="B150" s="27" t="str">
        <x:f>"0217898691"</x:f>
        <x:v>0217898691</x:v>
      </x:c>
      <x:c r="C150" s="7" t="str">
        <x:v>78S 550/250</x:v>
      </x:c>
      <x:c r="D150" s="28" t="str">
        <x:v>GO</x:v>
      </x:c>
      <x:c r="E150" s="7" t="str">
        <x:v>Keep draft</x:v>
      </x:c>
      <x:c r="F150" s="26" t="n">
        <x:v>2</x:v>
      </x:c>
      <x:c r="G150" s="26" t="n">
        <x:v>2</x:v>
      </x:c>
      <x:c r="H150" s="26" t="n">
        <x:v>1</x:v>
      </x:c>
      <x:c r="I150" s="26" t="n">
        <x:v>12</x:v>
      </x:c>
      <x:c r="J150" s="26" t="n">
        <x:v>0</x:v>
      </x:c>
      <x:c r="K150" s="26" t="n">
        <x:v>0</x:v>
      </x:c>
      <x:c r="L150" s="26" t="n">
        <x:v>5</x:v>
      </x:c>
      <x:c r="M150" s="26" t="n">
        <x:v>0</x:v>
      </x:c>
      <x:c r="N150" s="7" t="str">
        <x:v>ORDER NOW</x:v>
      </x:c>
      <x:c r="O150" s="7" t="str">
        <x:v>1 on hand; 5 total demand in 90d</x:v>
      </x:c>
    </x:row>
    <x:row r="151" ht="20" customHeight="1">
      <x:c r="A151" s="7" t="n">
        <x:v>145</x:v>
      </x:c>
      <x:c r="B151" s="27" t="str">
        <x:f>"0217898725"</x:f>
        <x:v>0217898725</x:v>
      </x:c>
      <x:c r="C151" s="7" t="str">
        <x:v>78S 550/275</x:v>
      </x:c>
      <x:c r="D151" s="28" t="str">
        <x:v>NO-GO</x:v>
      </x:c>
      <x:c r="E151" s="7" t="str">
        <x:v>Reduce</x:v>
      </x:c>
      <x:c r="F151" s="26" t="n">
        <x:v>2</x:v>
      </x:c>
      <x:c r="G151" s="26" t="n">
        <x:v>1</x:v>
      </x:c>
      <x:c r="H151" s="26" t="n">
        <x:v>1</x:v>
      </x:c>
      <x:c r="I151" s="26" t="n">
        <x:v>2</x:v>
      </x:c>
      <x:c r="J151" s="26" t="n">
        <x:v>0</x:v>
      </x:c>
      <x:c r="K151" s="26" t="n">
        <x:v>0</x:v>
      </x:c>
      <x:c r="L151" s="26" t="n">
        <x:v>0</x:v>
      </x:c>
      <x:c r="M151" s="26" t="n">
        <x:v>0</x:v>
      </x:c>
      <x:c r="N151" s="7" t="str">
        <x:v>NEXT CYCLE</x:v>
      </x:c>
      <x:c r="O151" s="7" t="str">
        <x:v>1 on hand; 0 total demand in 90d</x:v>
      </x:c>
    </x:row>
    <x:row r="152" ht="20" customHeight="1">
      <x:c r="A152" s="7" t="n">
        <x:v>146</x:v>
      </x:c>
      <x:c r="B152" s="27" t="str">
        <x:f>"0217898717"</x:f>
        <x:v>0217898717</x:v>
      </x:c>
      <x:c r="C152" s="7" t="str">
        <x:v>78S 550/275</x:v>
      </x:c>
      <x:c r="D152" s="28" t="str">
        <x:v>NO-GO</x:v>
      </x:c>
      <x:c r="E152" s="7" t="str">
        <x:v>Reduce</x:v>
      </x:c>
      <x:c r="F152" s="26" t="n">
        <x:v>2</x:v>
      </x:c>
      <x:c r="G152" s="26" t="n">
        <x:v>1</x:v>
      </x:c>
      <x:c r="H152" s="26" t="n">
        <x:v>1</x:v>
      </x:c>
      <x:c r="I152" s="26" t="n">
        <x:v>2</x:v>
      </x:c>
      <x:c r="J152" s="26" t="n">
        <x:v>0</x:v>
      </x:c>
      <x:c r="K152" s="26" t="n">
        <x:v>0</x:v>
      </x:c>
      <x:c r="L152" s="26" t="n">
        <x:v>0</x:v>
      </x:c>
      <x:c r="M152" s="26" t="n">
        <x:v>0</x:v>
      </x:c>
      <x:c r="N152" s="7" t="str">
        <x:v>NEXT CYCLE</x:v>
      </x:c>
      <x:c r="O152" s="7" t="str">
        <x:v>1 on hand; 0 total demand in 90d</x:v>
      </x:c>
    </x:row>
    <x:row r="153" ht="20" customHeight="1">
      <x:c r="A153" s="7" t="n">
        <x:v>147</x:v>
      </x:c>
      <x:c r="B153" s="27" t="str">
        <x:f>"0217898741"</x:f>
        <x:v>0217898741</x:v>
      </x:c>
      <x:c r="C153" s="7" t="str">
        <x:v>78S 550/300</x:v>
      </x:c>
      <x:c r="D153" s="28" t="str">
        <x:v>NO-GO</x:v>
      </x:c>
      <x:c r="E153" s="7" t="str">
        <x:v>Remove</x:v>
      </x:c>
      <x:c r="F153" s="26" t="n">
        <x:v>1</x:v>
      </x:c>
      <x:c r="G153" s="26" t="n">
        <x:v>0</x:v>
      </x:c>
      <x:c r="H153" s="26" t="n">
        <x:v>2</x:v>
      </x:c>
      <x:c r="I153" s="26" t="n">
        <x:v>1</x:v>
      </x:c>
      <x:c r="J153" s="26" t="n">
        <x:v>0</x:v>
      </x:c>
      <x:c r="K153" s="26" t="n">
        <x:v>0</x:v>
      </x:c>
      <x:c r="L153" s="26" t="n">
        <x:v>1</x:v>
      </x:c>
      <x:c r="M153" s="26" t="n">
        <x:v>0</x:v>
      </x:c>
      <x:c r="N153" s="7" t="str">
        <x:v>COVERED</x:v>
      </x:c>
      <x:c r="O153" s="7" t="str">
        <x:v>2 on hand covers 2-lens target</x:v>
      </x:c>
    </x:row>
    <x:row r="154" ht="20" customHeight="1">
      <x:c r="A154" s="7" t="n">
        <x:v>148</x:v>
      </x:c>
      <x:c r="B154" s="27" t="str">
        <x:f>"0217898766"</x:f>
        <x:v>0217898766</x:v>
      </x:c>
      <x:c r="C154" s="7" t="str">
        <x:v>78S 550/325</x:v>
      </x:c>
      <x:c r="D154" s="28" t="str">
        <x:v>GO</x:v>
      </x:c>
      <x:c r="E154" s="7" t="str">
        <x:v>Keep draft</x:v>
      </x:c>
      <x:c r="F154" s="26" t="n">
        <x:v>1</x:v>
      </x:c>
      <x:c r="G154" s="26" t="n">
        <x:v>1</x:v>
      </x:c>
      <x:c r="H154" s="26" t="n">
        <x:v>1</x:v>
      </x:c>
      <x:c r="I154" s="26" t="n">
        <x:v>1</x:v>
      </x:c>
      <x:c r="J154" s="26" t="n">
        <x:v>0</x:v>
      </x:c>
      <x:c r="K154" s="26" t="n">
        <x:v>0</x:v>
      </x:c>
      <x:c r="L154" s="26" t="n">
        <x:v>0</x:v>
      </x:c>
      <x:c r="M154" s="26" t="n">
        <x:v>0</x:v>
      </x:c>
      <x:c r="N154" s="7" t="str">
        <x:v>NEXT CYCLE</x:v>
      </x:c>
      <x:c r="O154" s="7" t="str">
        <x:v>1 on hand; 0 total demand in 90d</x:v>
      </x:c>
    </x:row>
    <x:row r="155" ht="20" customHeight="1">
      <x:c r="A155" s="7" t="n">
        <x:v>149</x:v>
      </x:c>
      <x:c r="B155" s="27" t="str">
        <x:f>"0217898758"</x:f>
        <x:v>0217898758</x:v>
      </x:c>
      <x:c r="C155" s="7" t="str">
        <x:v>78S 550/325</x:v>
      </x:c>
      <x:c r="D155" s="28" t="str">
        <x:v>GO</x:v>
      </x:c>
      <x:c r="E155" s="7" t="str">
        <x:v>Keep draft</x:v>
      </x:c>
      <x:c r="F155" s="26" t="n">
        <x:v>1</x:v>
      </x:c>
      <x:c r="G155" s="26" t="n">
        <x:v>1</x:v>
      </x:c>
      <x:c r="H155" s="26" t="n">
        <x:v>1</x:v>
      </x:c>
      <x:c r="I155" s="26" t="n">
        <x:v>1</x:v>
      </x:c>
      <x:c r="J155" s="26" t="n">
        <x:v>0</x:v>
      </x:c>
      <x:c r="K155" s="26" t="n">
        <x:v>0</x:v>
      </x:c>
      <x:c r="L155" s="26" t="n">
        <x:v>0</x:v>
      </x:c>
      <x:c r="M155" s="26" t="n">
        <x:v>0</x:v>
      </x:c>
      <x:c r="N155" s="7" t="str">
        <x:v>NEXT CYCLE</x:v>
      </x:c>
      <x:c r="O155" s="7" t="str">
        <x:v>1 on hand; 0 total demand in 90d</x:v>
      </x:c>
    </x:row>
    <x:row r="156" ht="20" customHeight="1">
      <x:c r="A156" s="7" t="n">
        <x:v>150</x:v>
      </x:c>
      <x:c r="B156" s="27" t="str">
        <x:f>"0217898923"</x:f>
        <x:v>0217898923</x:v>
      </x:c>
      <x:c r="C156" s="7" t="str">
        <x:v>78S 650/225</x:v>
      </x:c>
      <x:c r="D156" s="28" t="str">
        <x:v>NO-GO</x:v>
      </x:c>
      <x:c r="E156" s="7" t="str">
        <x:v>Reduce</x:v>
      </x:c>
      <x:c r="F156" s="26" t="n">
        <x:v>2</x:v>
      </x:c>
      <x:c r="G156" s="26" t="n">
        <x:v>1</x:v>
      </x:c>
      <x:c r="H156" s="26" t="n">
        <x:v>1</x:v>
      </x:c>
      <x:c r="I156" s="26" t="n">
        <x:v>2</x:v>
      </x:c>
      <x:c r="J156" s="26" t="n">
        <x:v>0</x:v>
      </x:c>
      <x:c r="K156" s="26" t="n">
        <x:v>0</x:v>
      </x:c>
      <x:c r="L156" s="26" t="n">
        <x:v>0</x:v>
      </x:c>
      <x:c r="M156" s="26" t="n">
        <x:v>0</x:v>
      </x:c>
      <x:c r="N156" s="7" t="str">
        <x:v>NEXT CYCLE</x:v>
      </x:c>
      <x:c r="O156" s="7" t="str">
        <x:v>1 on hand; 0 total demand in 90d</x:v>
      </x:c>
    </x:row>
    <x:row r="157" ht="20" customHeight="1">
      <x:c r="A157" s="7" t="n">
        <x:v>151</x:v>
      </x:c>
      <x:c r="B157" s="27" t="str">
        <x:f>"0217898915"</x:f>
        <x:v>0217898915</x:v>
      </x:c>
      <x:c r="C157" s="7" t="str">
        <x:v>78S 650/225</x:v>
      </x:c>
      <x:c r="D157" s="28" t="str">
        <x:v>NO-GO</x:v>
      </x:c>
      <x:c r="E157" s="7" t="str">
        <x:v>Reduce</x:v>
      </x:c>
      <x:c r="F157" s="26" t="n">
        <x:v>2</x:v>
      </x:c>
      <x:c r="G157" s="26" t="n">
        <x:v>1</x:v>
      </x:c>
      <x:c r="H157" s="26" t="n">
        <x:v>1</x:v>
      </x:c>
      <x:c r="I157" s="26" t="n">
        <x:v>2</x:v>
      </x:c>
      <x:c r="J157" s="26" t="n">
        <x:v>0</x:v>
      </x:c>
      <x:c r="K157" s="26" t="n">
        <x:v>0</x:v>
      </x:c>
      <x:c r="L157" s="26" t="n">
        <x:v>0</x:v>
      </x:c>
      <x:c r="M157" s="26" t="n">
        <x:v>0</x:v>
      </x:c>
      <x:c r="N157" s="7" t="str">
        <x:v>NEXT CYCLE</x:v>
      </x:c>
      <x:c r="O157" s="7" t="str">
        <x:v>1 on hand; 0 total demand in 90d</x:v>
      </x:c>
    </x:row>
    <x:row r="158" ht="20" customHeight="1">
      <x:c r="A158" s="7" t="n">
        <x:v>152</x:v>
      </x:c>
      <x:c r="B158" s="27" t="str">
        <x:f>"0217898949"</x:f>
        <x:v>0217898949</x:v>
      </x:c>
      <x:c r="C158" s="7" t="str">
        <x:v>78S 650/250</x:v>
      </x:c>
      <x:c r="D158" s="28" t="str">
        <x:v>GO</x:v>
      </x:c>
      <x:c r="E158" s="7" t="str">
        <x:v>Keep draft</x:v>
      </x:c>
      <x:c r="F158" s="26" t="n">
        <x:v>3</x:v>
      </x:c>
      <x:c r="G158" s="26" t="n">
        <x:v>3</x:v>
      </x:c>
      <x:c r="H158" s="26" t="n">
        <x:v>0</x:v>
      </x:c>
      <x:c r="I158" s="26" t="n">
        <x:v>5</x:v>
      </x:c>
      <x:c r="J158" s="26" t="n">
        <x:v>0</x:v>
      </x:c>
      <x:c r="K158" s="26" t="n">
        <x:v>1</x:v>
      </x:c>
      <x:c r="L158" s="26" t="n">
        <x:v>2</x:v>
      </x:c>
      <x:c r="M158" s="26" t="n">
        <x:v>4</x:v>
      </x:c>
      <x:c r="N158" s="7" t="str">
        <x:v>ORDER NOW</x:v>
      </x:c>
      <x:c r="O158" s="7" t="str">
        <x:v>0 on hand; 2 total demand in 90d</x:v>
      </x:c>
    </x:row>
    <x:row r="159" ht="20" customHeight="1">
      <x:c r="A159" s="7" t="n">
        <x:v>153</x:v>
      </x:c>
      <x:c r="B159" s="27" t="str">
        <x:f>"0217898931"</x:f>
        <x:v>0217898931</x:v>
      </x:c>
      <x:c r="C159" s="7" t="str">
        <x:v>78S 650/250</x:v>
      </x:c>
      <x:c r="D159" s="28" t="str">
        <x:v>GO</x:v>
      </x:c>
      <x:c r="E159" s="7" t="str">
        <x:v>Keep draft</x:v>
      </x:c>
      <x:c r="F159" s="26" t="n">
        <x:v>3</x:v>
      </x:c>
      <x:c r="G159" s="26" t="n">
        <x:v>3</x:v>
      </x:c>
      <x:c r="H159" s="26" t="n">
        <x:v>0</x:v>
      </x:c>
      <x:c r="I159" s="26" t="n">
        <x:v>6</x:v>
      </x:c>
      <x:c r="J159" s="26" t="n">
        <x:v>0</x:v>
      </x:c>
      <x:c r="K159" s="26" t="n">
        <x:v>0</x:v>
      </x:c>
      <x:c r="L159" s="26" t="n">
        <x:v>3</x:v>
      </x:c>
      <x:c r="M159" s="26" t="n">
        <x:v>3</x:v>
      </x:c>
      <x:c r="N159" s="7" t="str">
        <x:v>ORDER NOW</x:v>
      </x:c>
      <x:c r="O159" s="7" t="str">
        <x:v>0 on hand; 3 total demand in 90d</x:v>
      </x:c>
    </x:row>
    <x:row r="160" ht="20" customHeight="1">
      <x:c r="A160" s="7" t="n">
        <x:v>154</x:v>
      </x:c>
      <x:c r="B160" s="27" t="str">
        <x:f>"0217898964"</x:f>
        <x:v>0217898964</x:v>
      </x:c>
      <x:c r="C160" s="7" t="str">
        <x:v>78S 650/275</x:v>
      </x:c>
      <x:c r="D160" s="28" t="str">
        <x:v>GO</x:v>
      </x:c>
      <x:c r="E160" s="7" t="str">
        <x:v>Keep draft</x:v>
      </x:c>
      <x:c r="F160" s="26" t="n">
        <x:v>1</x:v>
      </x:c>
      <x:c r="G160" s="26" t="n">
        <x:v>1</x:v>
      </x:c>
      <x:c r="H160" s="26" t="n">
        <x:v>2</x:v>
      </x:c>
      <x:c r="I160" s="26" t="n">
        <x:v>4</x:v>
      </x:c>
      <x:c r="J160" s="26" t="n">
        <x:v>0</x:v>
      </x:c>
      <x:c r="K160" s="26" t="n">
        <x:v>0</x:v>
      </x:c>
      <x:c r="L160" s="26" t="n">
        <x:v>1</x:v>
      </x:c>
      <x:c r="M160" s="26" t="n">
        <x:v>2</x:v>
      </x:c>
      <x:c r="N160" s="7" t="str">
        <x:v>NEXT CYCLE</x:v>
      </x:c>
      <x:c r="O160" s="7" t="str">
        <x:v>2 on hand; 1 total demand in 90d</x:v>
      </x:c>
    </x:row>
    <x:row r="161" ht="20" customHeight="1">
      <x:c r="A161" s="7" t="n">
        <x:v>155</x:v>
      </x:c>
      <x:c r="B161" s="27" t="str">
        <x:f>"0217898956"</x:f>
        <x:v>0217898956</x:v>
      </x:c>
      <x:c r="C161" s="7" t="str">
        <x:v>78S 650/275</x:v>
      </x:c>
      <x:c r="D161" s="28" t="str">
        <x:v>GO</x:v>
      </x:c>
      <x:c r="E161" s="7" t="str">
        <x:v>Keep draft</x:v>
      </x:c>
      <x:c r="F161" s="26" t="n">
        <x:v>1</x:v>
      </x:c>
      <x:c r="G161" s="26" t="n">
        <x:v>1</x:v>
      </x:c>
      <x:c r="H161" s="26" t="n">
        <x:v>2</x:v>
      </x:c>
      <x:c r="I161" s="26" t="n">
        <x:v>4</x:v>
      </x:c>
      <x:c r="J161" s="26" t="n">
        <x:v>0</x:v>
      </x:c>
      <x:c r="K161" s="26" t="n">
        <x:v>0</x:v>
      </x:c>
      <x:c r="L161" s="26" t="n">
        <x:v>2</x:v>
      </x:c>
      <x:c r="M161" s="26" t="n">
        <x:v>2</x:v>
      </x:c>
      <x:c r="N161" s="7" t="str">
        <x:v>NEXT CYCLE</x:v>
      </x:c>
      <x:c r="O161" s="7" t="str">
        <x:v>2 on hand; 2 total demand in 90d</x:v>
      </x:c>
    </x:row>
    <x:row r="162" ht="20" customHeight="1">
      <x:c r="A162" s="7" t="n">
        <x:v>156</x:v>
      </x:c>
      <x:c r="B162" s="27" t="str">
        <x:f>"0181276775"</x:f>
        <x:v>0181276775</x:v>
      </x:c>
      <x:c r="C162" s="7" t="str">
        <x:v>77S 450/250</x:v>
      </x:c>
      <x:c r="D162" s="28" t="str">
        <x:v>NO-GO</x:v>
      </x:c>
      <x:c r="E162" s="7" t="str">
        <x:v>Reduce</x:v>
      </x:c>
      <x:c r="F162" s="26" t="n">
        <x:v>2</x:v>
      </x:c>
      <x:c r="G162" s="26" t="n">
        <x:v>1</x:v>
      </x:c>
      <x:c r="H162" s="26" t="n">
        <x:v>2</x:v>
      </x:c>
      <x:c r="I162" s="26" t="n">
        <x:v>7</x:v>
      </x:c>
      <x:c r="J162" s="26" t="n">
        <x:v>0</x:v>
      </x:c>
      <x:c r="K162" s="26" t="n">
        <x:v>0</x:v>
      </x:c>
      <x:c r="L162" s="26" t="n">
        <x:v>1</x:v>
      </x:c>
      <x:c r="M162" s="26" t="n">
        <x:v>0</x:v>
      </x:c>
      <x:c r="N162" s="7" t="str">
        <x:v>NEXT CYCLE</x:v>
      </x:c>
      <x:c r="O162" s="7" t="str">
        <x:v>2 on hand; 1 total demand in 90d</x:v>
      </x:c>
    </x:row>
    <x:row r="163" ht="20" customHeight="1">
      <x:c r="A163" s="7" t="n">
        <x:v>157</x:v>
      </x:c>
      <x:c r="B163" s="27" t="str">
        <x:f>"0217897982"</x:f>
        <x:v>0217897982</x:v>
      </x:c>
      <x:c r="C163" s="7" t="str">
        <x:v>78S 175/250</x:v>
      </x:c>
      <x:c r="D163" s="28" t="str">
        <x:v>GO</x:v>
      </x:c>
      <x:c r="E163" s="7" t="str">
        <x:v>Keep draft</x:v>
      </x:c>
      <x:c r="F163" s="26" t="n">
        <x:v>3</x:v>
      </x:c>
      <x:c r="G163" s="26" t="n">
        <x:v>3</x:v>
      </x:c>
      <x:c r="H163" s="26" t="n">
        <x:v>1</x:v>
      </x:c>
      <x:c r="I163" s="26" t="n">
        <x:v>14</x:v>
      </x:c>
      <x:c r="J163" s="26" t="n">
        <x:v>6</x:v>
      </x:c>
      <x:c r="K163" s="26" t="n">
        <x:v>1</x:v>
      </x:c>
      <x:c r="L163" s="26" t="n">
        <x:v>4</x:v>
      </x:c>
      <x:c r="M163" s="26" t="n">
        <x:v>0</x:v>
      </x:c>
      <x:c r="N163" s="7" t="str">
        <x:v>ORDER NOW</x:v>
      </x:c>
      <x:c r="O163" s="7" t="str">
        <x:v>1 on hand; 4 total demand in 90d</x:v>
      </x:c>
    </x:row>
  </x:sheetData>
  <x:conditionalFormatting sqref="D7:D163">
    <x:cfRule type="expression" dxfId="0" priority="1">
      <x:formula>$D7="GO"</x:formula>
    </x:cfRule>
    <x:cfRule type="expression" dxfId="1" priority="2">
      <x:formula>$D7="NO-GO"</x:formula>
    </x:cfRule>
  </x:conditionalFormatting>
  <x:conditionalFormatting sqref="E7:E163">
    <x:cfRule type="expression" dxfId="2" priority="3">
      <x:formula>$E7="Reduce"</x:formula>
    </x:cfRule>
    <x:cfRule type="expression" dxfId="3" priority="4">
      <x:formula>$E7="Remove"</x:formula>
    </x:cfRule>
  </x:conditionalFormatting>
  <x:conditionalFormatting sqref="M7:M163">
    <x:cfRule type="cellIs" dxfId="4" priority="5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1eb570436542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9" hidden="0" customWidth="1"/>
    <x:col min="4" max="4" width="17" hidden="0" customWidth="1"/>
    <x:col min="5" max="5" width="15" hidden="0" customWidth="1"/>
    <x:col min="6" max="6" width="12" hidden="0" customWidth="1"/>
    <x:col min="7" max="7" width="14" hidden="0" customWidth="1"/>
    <x:col min="8" max="8" width="11" hidden="0" customWidth="1"/>
    <x:col min="9" max="9" width="14" hidden="0" customWidth="1"/>
    <x:col min="10" max="10" width="16" hidden="0" customWidth="1"/>
    <x:col min="11" max="11" width="15" hidden="0" customWidth="1"/>
    <x:col min="12" max="12" width="15" hidden="0" customWidth="1"/>
    <x:col min="13" max="13" width="17" hidden="0" customWidth="1"/>
    <x:col min="14" max="14" width="16" hidden="0" customWidth="1"/>
    <x:col min="15" max="15" width="46" hidden="0" customWidth="1"/>
  </x:cols>
  <x:sheetData>
    <x:row r="2">
      <x:c r="A2" s="17" t="str">
        <x:v>PO 20181888 lens review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2" t="str">
        <x:v>9 October 2026 snapshot. Filter GO / NO-GO or Action to review line decisions.</x:v>
      </x:c>
    </x:row>
    <x:row r="4" ht="22" customHeight="1">
      <x:c r="A4" s="10" t="str">
        <x:v>Lines</x:v>
      </x:c>
      <x:c r="B4" s="10" t="n">
        <x:v>61</x:v>
      </x:c>
      <x:c r="C4" s="10" t="str">
        <x:v>GO</x:v>
      </x:c>
      <x:c r="D4" s="12" t="n">
        <x:v>31</x:v>
      </x:c>
      <x:c r="E4" s="10" t="str">
        <x:v>NO-GO</x:v>
      </x:c>
      <x:c r="F4" s="14" t="n">
        <x:v>30</x:v>
      </x:c>
    </x:row>
    <x:row r="6" ht="28" customHeight="1">
      <x:c r="A6" s="6" t="str">
        <x:v>Line</x:v>
      </x:c>
      <x:c r="B6" s="6" t="str">
        <x:v>SKU</x:v>
      </x:c>
      <x:c r="C6" s="6" t="str">
        <x:v>Lens</x:v>
      </x:c>
      <x:c r="D6" s="6" t="str">
        <x:v>GO / NO-GO</x:v>
      </x:c>
      <x:c r="E6" s="6" t="str">
        <x:v>Action</x:v>
      </x:c>
      <x:c r="F6" s="6" t="str">
        <x:v>Draft qty</x:v>
      </x:c>
      <x:c r="G6" s="6" t="str">
        <x:v>Suggested qty</x:v>
      </x:c>
      <x:c r="H6" s="6" t="str">
        <x:v>On hand</x:v>
      </x:c>
      <x:c r="I6" s="6" t="str">
        <x:v>Rx sold 12m</x:v>
      </x:c>
      <x:c r="J6" s="6" t="str">
        <x:v>Stock sold 12m</x:v>
      </x:c>
      <x:c r="K6" s="6" t="str">
        <x:v>Breakages 12m</x:v>
      </x:c>
      <x:c r="L6" s="6" t="str">
        <x:v>Demand 90d</x:v>
      </x:c>
      <x:c r="M6" s="6" t="str">
        <x:v>Other open qty</x:v>
      </x:c>
      <x:c r="N6" s="6" t="str">
        <x:v>Need</x:v>
      </x:c>
      <x:c r="O6" s="6" t="str">
        <x:v>Reason</x:v>
      </x:c>
    </x:row>
    <x:row r="7" ht="20" customHeight="1">
      <x:c r="A7" s="7" t="n">
        <x:v>1</x:v>
      </x:c>
      <x:c r="B7" s="27" t="str">
        <x:f>"0011730603"</x:f>
        <x:v>0011730603</x:v>
      </x:c>
      <x:c r="C7" s="7" t="str">
        <x:v>78S 425/325</x:v>
      </x:c>
      <x:c r="D7" s="28" t="str">
        <x:v>NO-GO</x:v>
      </x:c>
      <x:c r="E7" s="7" t="str">
        <x:v>Remove</x:v>
      </x:c>
      <x:c r="F7" s="26" t="n">
        <x:v>2</x:v>
      </x:c>
      <x:c r="G7" s="26" t="n">
        <x:v>0</x:v>
      </x:c>
      <x:c r="H7" s="26" t="n">
        <x:v>4</x:v>
      </x:c>
      <x:c r="I7" s="26" t="n">
        <x:v>5</x:v>
      </x:c>
      <x:c r="J7" s="26" t="n">
        <x:v>0</x:v>
      </x:c>
      <x:c r="K7" s="26" t="n">
        <x:v>0</x:v>
      </x:c>
      <x:c r="L7" s="26" t="n">
        <x:v>2</x:v>
      </x:c>
      <x:c r="M7" s="26" t="n">
        <x:v>0</x:v>
      </x:c>
      <x:c r="N7" s="7" t="str">
        <x:v>COVERED</x:v>
      </x:c>
      <x:c r="O7" s="7" t="str">
        <x:v>4 on hand covers 3-lens target</x:v>
      </x:c>
    </x:row>
    <x:row r="8" ht="20" customHeight="1">
      <x:c r="A8" s="7" t="n">
        <x:v>2</x:v>
      </x:c>
      <x:c r="B8" s="27" t="str">
        <x:f>"0011730595"</x:f>
        <x:v>0011730595</x:v>
      </x:c>
      <x:c r="C8" s="7" t="str">
        <x:v>78S 425/325</x:v>
      </x:c>
      <x:c r="D8" s="28" t="str">
        <x:v>NO-GO</x:v>
      </x:c>
      <x:c r="E8" s="7" t="str">
        <x:v>Remove</x:v>
      </x:c>
      <x:c r="F8" s="26" t="n">
        <x:v>2</x:v>
      </x:c>
      <x:c r="G8" s="26" t="n">
        <x:v>0</x:v>
      </x:c>
      <x:c r="H8" s="26" t="n">
        <x:v>4</x:v>
      </x:c>
      <x:c r="I8" s="26" t="n">
        <x:v>5</x:v>
      </x:c>
      <x:c r="J8" s="26" t="n">
        <x:v>0</x:v>
      </x:c>
      <x:c r="K8" s="26" t="n">
        <x:v>0</x:v>
      </x:c>
      <x:c r="L8" s="26" t="n">
        <x:v>2</x:v>
      </x:c>
      <x:c r="M8" s="26" t="n">
        <x:v>0</x:v>
      </x:c>
      <x:c r="N8" s="7" t="str">
        <x:v>COVERED</x:v>
      </x:c>
      <x:c r="O8" s="7" t="str">
        <x:v>4 on hand covers 3-lens target</x:v>
      </x:c>
    </x:row>
    <x:row r="9" ht="20" customHeight="1">
      <x:c r="A9" s="7" t="n">
        <x:v>3</x:v>
      </x:c>
      <x:c r="B9" s="27" t="str">
        <x:f>"0011730629"</x:f>
        <x:v>0011730629</x:v>
      </x:c>
      <x:c r="C9" s="7" t="str">
        <x:v>78S 425/350</x:v>
      </x:c>
      <x:c r="D9" s="28" t="str">
        <x:v>GO</x:v>
      </x:c>
      <x:c r="E9" s="7" t="str">
        <x:v>Keep draft</x:v>
      </x:c>
      <x:c r="F9" s="26" t="n">
        <x:v>3</x:v>
      </x:c>
      <x:c r="G9" s="26" t="n">
        <x:v>3</x:v>
      </x:c>
      <x:c r="H9" s="26" t="n">
        <x:v>3</x:v>
      </x:c>
      <x:c r="I9" s="26" t="n">
        <x:v>27</x:v>
      </x:c>
      <x:c r="J9" s="26" t="n">
        <x:v>3</x:v>
      </x:c>
      <x:c r="K9" s="26" t="n">
        <x:v>0</x:v>
      </x:c>
      <x:c r="L9" s="26" t="n">
        <x:v>6</x:v>
      </x:c>
      <x:c r="M9" s="26" t="n">
        <x:v>0</x:v>
      </x:c>
      <x:c r="N9" s="7" t="str">
        <x:v>NEXT CYCLE</x:v>
      </x:c>
      <x:c r="O9" s="7" t="str">
        <x:v>3 on hand; 6 total demand in 90d</x:v>
      </x:c>
    </x:row>
    <x:row r="10" ht="20" customHeight="1">
      <x:c r="A10" s="7" t="n">
        <x:v>4</x:v>
      </x:c>
      <x:c r="B10" s="27" t="str">
        <x:f>"0011730611"</x:f>
        <x:v>0011730611</x:v>
      </x:c>
      <x:c r="C10" s="7" t="str">
        <x:v>78S 425/350</x:v>
      </x:c>
      <x:c r="D10" s="28" t="str">
        <x:v>GO</x:v>
      </x:c>
      <x:c r="E10" s="7" t="str">
        <x:v>Keep draft</x:v>
      </x:c>
      <x:c r="F10" s="26" t="n">
        <x:v>3</x:v>
      </x:c>
      <x:c r="G10" s="26" t="n">
        <x:v>3</x:v>
      </x:c>
      <x:c r="H10" s="26" t="n">
        <x:v>3</x:v>
      </x:c>
      <x:c r="I10" s="26" t="n">
        <x:v>27</x:v>
      </x:c>
      <x:c r="J10" s="26" t="n">
        <x:v>3</x:v>
      </x:c>
      <x:c r="K10" s="26" t="n">
        <x:v>0</x:v>
      </x:c>
      <x:c r="L10" s="26" t="n">
        <x:v>6</x:v>
      </x:c>
      <x:c r="M10" s="26" t="n">
        <x:v>0</x:v>
      </x:c>
      <x:c r="N10" s="7" t="str">
        <x:v>NEXT CYCLE</x:v>
      </x:c>
      <x:c r="O10" s="7" t="str">
        <x:v>3 on hand; 6 total demand in 90d</x:v>
      </x:c>
    </x:row>
    <x:row r="11" ht="20" customHeight="1">
      <x:c r="A11" s="7" t="n">
        <x:v>5</x:v>
      </x:c>
      <x:c r="B11" s="27" t="str">
        <x:f>"0011730660"</x:f>
        <x:v>0011730660</x:v>
      </x:c>
      <x:c r="C11" s="7" t="str">
        <x:v>78S 425/400</x:v>
      </x:c>
      <x:c r="D11" s="28" t="str">
        <x:v>GO</x:v>
      </x:c>
      <x:c r="E11" s="7" t="str">
        <x:v>Keep draft</x:v>
      </x:c>
      <x:c r="F11" s="26" t="n">
        <x:v>4</x:v>
      </x:c>
      <x:c r="G11" s="26" t="n">
        <x:v>4</x:v>
      </x:c>
      <x:c r="H11" s="26" t="n">
        <x:v>0</x:v>
      </x:c>
      <x:c r="I11" s="26" t="n">
        <x:v>5</x:v>
      </x:c>
      <x:c r="J11" s="26" t="n">
        <x:v>0</x:v>
      </x:c>
      <x:c r="K11" s="26" t="n">
        <x:v>0</x:v>
      </x:c>
      <x:c r="L11" s="26" t="n">
        <x:v>3</x:v>
      </x:c>
      <x:c r="M11" s="26" t="n">
        <x:v>0</x:v>
      </x:c>
      <x:c r="N11" s="7" t="str">
        <x:v>ORDER NOW</x:v>
      </x:c>
      <x:c r="O11" s="7" t="str">
        <x:v>0 on hand; 3 total demand in 90d</x:v>
      </x:c>
    </x:row>
    <x:row r="12" ht="20" customHeight="1">
      <x:c r="A12" s="7" t="n">
        <x:v>6</x:v>
      </x:c>
      <x:c r="B12" s="27" t="str">
        <x:f>"0011730652"</x:f>
        <x:v>0011730652</x:v>
      </x:c>
      <x:c r="C12" s="7" t="str">
        <x:v>78S 425/400</x:v>
      </x:c>
      <x:c r="D12" s="28" t="str">
        <x:v>GO</x:v>
      </x:c>
      <x:c r="E12" s="7" t="str">
        <x:v>Keep draft</x:v>
      </x:c>
      <x:c r="F12" s="26" t="n">
        <x:v>4</x:v>
      </x:c>
      <x:c r="G12" s="26" t="n">
        <x:v>4</x:v>
      </x:c>
      <x:c r="H12" s="26" t="n">
        <x:v>0</x:v>
      </x:c>
      <x:c r="I12" s="26" t="n">
        <x:v>5</x:v>
      </x:c>
      <x:c r="J12" s="26" t="n">
        <x:v>0</x:v>
      </x:c>
      <x:c r="K12" s="26" t="n">
        <x:v>0</x:v>
      </x:c>
      <x:c r="L12" s="26" t="n">
        <x:v>3</x:v>
      </x:c>
      <x:c r="M12" s="26" t="n">
        <x:v>0</x:v>
      </x:c>
      <x:c r="N12" s="7" t="str">
        <x:v>ORDER NOW</x:v>
      </x:c>
      <x:c r="O12" s="7" t="str">
        <x:v>0 on hand; 3 total demand in 90d</x:v>
      </x:c>
    </x:row>
    <x:row r="13" ht="20" customHeight="1">
      <x:c r="A13" s="7" t="n">
        <x:v>7</x:v>
      </x:c>
      <x:c r="B13" s="27" t="str">
        <x:f>"0011730678"</x:f>
        <x:v>0011730678</x:v>
      </x:c>
      <x:c r="C13" s="7" t="str">
        <x:v>78S 625/325</x:v>
      </x:c>
      <x:c r="D13" s="28" t="str">
        <x:v>NO-GO</x:v>
      </x:c>
      <x:c r="E13" s="7" t="str">
        <x:v>Remove</x:v>
      </x:c>
      <x:c r="F13" s="26" t="n">
        <x:v>1</x:v>
      </x:c>
      <x:c r="G13" s="26" t="n">
        <x:v>0</x:v>
      </x:c>
      <x:c r="H13" s="26" t="n">
        <x:v>4</x:v>
      </x:c>
      <x:c r="I13" s="26" t="n">
        <x:v>2</x:v>
      </x:c>
      <x:c r="J13" s="26" t="n">
        <x:v>0</x:v>
      </x:c>
      <x:c r="K13" s="26" t="n">
        <x:v>0</x:v>
      </x:c>
      <x:c r="L13" s="26" t="n">
        <x:v>1</x:v>
      </x:c>
      <x:c r="M13" s="26" t="n">
        <x:v>0</x:v>
      </x:c>
      <x:c r="N13" s="7" t="str">
        <x:v>COVERED</x:v>
      </x:c>
      <x:c r="O13" s="7" t="str">
        <x:v>4 on hand covers 2-lens target</x:v>
      </x:c>
    </x:row>
    <x:row r="14" ht="20" customHeight="1">
      <x:c r="A14" s="7" t="n">
        <x:v>8</x:v>
      </x:c>
      <x:c r="B14" s="27" t="str">
        <x:f>"0011730702"</x:f>
        <x:v>0011730702</x:v>
      </x:c>
      <x:c r="C14" s="7" t="str">
        <x:v>78S 625/350</x:v>
      </x:c>
      <x:c r="D14" s="28" t="str">
        <x:v>NO-GO</x:v>
      </x:c>
      <x:c r="E14" s="7" t="str">
        <x:v>Reduce</x:v>
      </x:c>
      <x:c r="F14" s="26" t="n">
        <x:v>2</x:v>
      </x:c>
      <x:c r="G14" s="26" t="n">
        <x:v>1</x:v>
      </x:c>
      <x:c r="H14" s="26" t="n">
        <x:v>2</x:v>
      </x:c>
      <x:c r="I14" s="26" t="n">
        <x:v>7</x:v>
      </x:c>
      <x:c r="J14" s="26" t="n">
        <x:v>1</x:v>
      </x:c>
      <x:c r="K14" s="26" t="n">
        <x:v>0</x:v>
      </x:c>
      <x:c r="L14" s="26" t="n">
        <x:v>3</x:v>
      </x:c>
      <x:c r="M14" s="26" t="n">
        <x:v>0</x:v>
      </x:c>
      <x:c r="N14" s="7" t="str">
        <x:v>NEXT CYCLE</x:v>
      </x:c>
      <x:c r="O14" s="7" t="str">
        <x:v>2 on hand; 3 total demand in 90d</x:v>
      </x:c>
    </x:row>
    <x:row r="15" ht="20" customHeight="1">
      <x:c r="A15" s="7" t="n">
        <x:v>9</x:v>
      </x:c>
      <x:c r="B15" s="27" t="str">
        <x:f>"0011730694"</x:f>
        <x:v>0011730694</x:v>
      </x:c>
      <x:c r="C15" s="7" t="str">
        <x:v>78S 625/350</x:v>
      </x:c>
      <x:c r="D15" s="28" t="str">
        <x:v>NO-GO</x:v>
      </x:c>
      <x:c r="E15" s="7" t="str">
        <x:v>Reduce</x:v>
      </x:c>
      <x:c r="F15" s="26" t="n">
        <x:v>2</x:v>
      </x:c>
      <x:c r="G15" s="26" t="n">
        <x:v>1</x:v>
      </x:c>
      <x:c r="H15" s="26" t="n">
        <x:v>2</x:v>
      </x:c>
      <x:c r="I15" s="26" t="n">
        <x:v>7</x:v>
      </x:c>
      <x:c r="J15" s="26" t="n">
        <x:v>1</x:v>
      </x:c>
      <x:c r="K15" s="26" t="n">
        <x:v>0</x:v>
      </x:c>
      <x:c r="L15" s="26" t="n">
        <x:v>3</x:v>
      </x:c>
      <x:c r="M15" s="26" t="n">
        <x:v>0</x:v>
      </x:c>
      <x:c r="N15" s="7" t="str">
        <x:v>NEXT CYCLE</x:v>
      </x:c>
      <x:c r="O15" s="7" t="str">
        <x:v>2 on hand; 3 total demand in 90d</x:v>
      </x:c>
    </x:row>
    <x:row r="16" ht="20" customHeight="1">
      <x:c r="A16" s="7" t="n">
        <x:v>10</x:v>
      </x:c>
      <x:c r="B16" s="27" t="str">
        <x:f>"0011920972"</x:f>
        <x:v>0011920972</x:v>
      </x:c>
      <x:c r="C16" s="7" t="str">
        <x:v>70F -225sph</x:v>
      </x:c>
      <x:c r="D16" s="28" t="str">
        <x:v>NO-GO</x:v>
      </x:c>
      <x:c r="E16" s="7" t="str">
        <x:v>Remove</x:v>
      </x:c>
      <x:c r="F16" s="26" t="n">
        <x:v>1</x:v>
      </x:c>
      <x:c r="G16" s="26" t="n">
        <x:v>0</x:v>
      </x:c>
      <x:c r="H16" s="26" t="n">
        <x:v>3</x:v>
      </x:c>
      <x:c r="I16" s="26" t="n">
        <x:v>5</x:v>
      </x:c>
      <x:c r="J16" s="26" t="n">
        <x:v>0</x:v>
      </x:c>
      <x:c r="K16" s="26" t="n">
        <x:v>0</x:v>
      </x:c>
      <x:c r="L16" s="26" t="n">
        <x:v>1</x:v>
      </x:c>
      <x:c r="M16" s="26" t="n">
        <x:v>0</x:v>
      </x:c>
      <x:c r="N16" s="7" t="str">
        <x:v>COVERED</x:v>
      </x:c>
      <x:c r="O16" s="7" t="str">
        <x:v>3 on hand covers 2-lens target</x:v>
      </x:c>
    </x:row>
    <x:row r="17" ht="20" customHeight="1">
      <x:c r="A17" s="7" t="n">
        <x:v>11</x:v>
      </x:c>
      <x:c r="B17" s="27" t="str">
        <x:f>"0011920436"</x:f>
        <x:v>0011920436</x:v>
      </x:c>
      <x:c r="C17" s="7" t="str">
        <x:v>70F -75sph</x:v>
      </x:c>
      <x:c r="D17" s="28" t="str">
        <x:v>NO-GO</x:v>
      </x:c>
      <x:c r="E17" s="7" t="str">
        <x:v>Remove</x:v>
      </x:c>
      <x:c r="F17" s="26" t="n">
        <x:v>1</x:v>
      </x:c>
      <x:c r="G17" s="26" t="n">
        <x:v>0</x:v>
      </x:c>
      <x:c r="H17" s="26" t="n">
        <x:v>3</x:v>
      </x:c>
      <x:c r="I17" s="26" t="n">
        <x:v>7</x:v>
      </x:c>
      <x:c r="J17" s="26" t="n">
        <x:v>2</x:v>
      </x:c>
      <x:c r="K17" s="26" t="n">
        <x:v>0</x:v>
      </x:c>
      <x:c r="L17" s="26" t="n">
        <x:v>3</x:v>
      </x:c>
      <x:c r="M17" s="26" t="n">
        <x:v>0</x:v>
      </x:c>
      <x:c r="N17" s="7" t="str">
        <x:v>COVERED</x:v>
      </x:c>
      <x:c r="O17" s="7" t="str">
        <x:v>3 on hand covers 3-lens target</x:v>
      </x:c>
    </x:row>
    <x:row r="18" ht="20" customHeight="1">
      <x:c r="A18" s="7" t="n">
        <x:v>12</x:v>
      </x:c>
      <x:c r="B18" s="27" t="str">
        <x:f>"0011920527"</x:f>
        <x:v>0011920527</x:v>
      </x:c>
      <x:c r="C18" s="7" t="str">
        <x:v>70F -100sph</x:v>
      </x:c>
      <x:c r="D18" s="28" t="str">
        <x:v>NO-GO</x:v>
      </x:c>
      <x:c r="E18" s="7" t="str">
        <x:v>Remove</x:v>
      </x:c>
      <x:c r="F18" s="26" t="n">
        <x:v>2</x:v>
      </x:c>
      <x:c r="G18" s="26" t="n">
        <x:v>0</x:v>
      </x:c>
      <x:c r="H18" s="26" t="n">
        <x:v>5</x:v>
      </x:c>
      <x:c r="I18" s="26" t="n">
        <x:v>1</x:v>
      </x:c>
      <x:c r="J18" s="26" t="n">
        <x:v>0</x:v>
      </x:c>
      <x:c r="K18" s="26" t="n">
        <x:v>0</x:v>
      </x:c>
      <x:c r="L18" s="26" t="n">
        <x:v>0</x:v>
      </x:c>
      <x:c r="M18" s="26" t="n">
        <x:v>0</x:v>
      </x:c>
      <x:c r="N18" s="7" t="str">
        <x:v>COVERED</x:v>
      </x:c>
      <x:c r="O18" s="7" t="str">
        <x:v>5 on hand covers 2-lens target</x:v>
      </x:c>
    </x:row>
    <x:row r="19" ht="20" customHeight="1">
      <x:c r="A19" s="7" t="n">
        <x:v>13</x:v>
      </x:c>
      <x:c r="B19" s="27" t="str">
        <x:f>"0011920881"</x:f>
        <x:v>0011920881</x:v>
      </x:c>
      <x:c r="C19" s="7" t="str">
        <x:v>70F -200sph</x:v>
      </x:c>
      <x:c r="D19" s="28" t="str">
        <x:v>NO-GO</x:v>
      </x:c>
      <x:c r="E19" s="7" t="str">
        <x:v>Remove</x:v>
      </x:c>
      <x:c r="F19" s="26" t="n">
        <x:v>1</x:v>
      </x:c>
      <x:c r="G19" s="26" t="n">
        <x:v>0</x:v>
      </x:c>
      <x:c r="H19" s="26" t="n">
        <x:v>3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7" t="str">
        <x:v>COVERED</x:v>
      </x:c>
      <x:c r="O19" s="7" t="str">
        <x:v>3 on hand covers 0-lens target</x:v>
      </x:c>
    </x:row>
    <x:row r="20" ht="20" customHeight="1">
      <x:c r="A20" s="7" t="n">
        <x:v>14</x:v>
      </x:c>
      <x:c r="B20" s="27" t="str">
        <x:f>"0011920162"</x:f>
        <x:v>0011920162</x:v>
      </x:c>
      <x:c r="C20" s="7" t="str">
        <x:v>70F PLsph</x:v>
      </x:c>
      <x:c r="D20" s="28" t="str">
        <x:v>NO-GO</x:v>
      </x:c>
      <x:c r="E20" s="7" t="str">
        <x:v>Remove</x:v>
      </x:c>
      <x:c r="F20" s="26" t="n">
        <x:v>1</x:v>
      </x:c>
      <x:c r="G20" s="26" t="n">
        <x:v>0</x:v>
      </x:c>
      <x:c r="H20" s="26" t="n">
        <x:v>8</x:v>
      </x:c>
      <x:c r="I20" s="26" t="n">
        <x:v>8</x:v>
      </x:c>
      <x:c r="J20" s="26" t="n">
        <x:v>0</x:v>
      </x:c>
      <x:c r="K20" s="26" t="n">
        <x:v>0</x:v>
      </x:c>
      <x:c r="L20" s="26" t="n">
        <x:v>1</x:v>
      </x:c>
      <x:c r="M20" s="26" t="n">
        <x:v>0</x:v>
      </x:c>
      <x:c r="N20" s="7" t="str">
        <x:v>COVERED</x:v>
      </x:c>
      <x:c r="O20" s="7" t="str">
        <x:v>8 on hand covers 3-lens target</x:v>
      </x:c>
    </x:row>
    <x:row r="21" ht="20" customHeight="1">
      <x:c r="A21" s="7" t="n">
        <x:v>15</x:v>
      </x:c>
      <x:c r="B21" s="27" t="str">
        <x:f>"0011918752"</x:f>
        <x:v>0011918752</x:v>
      </x:c>
      <x:c r="C21" s="7" t="str">
        <x:v>65F +75sph</x:v>
      </x:c>
      <x:c r="D21" s="28" t="str">
        <x:v>NO-GO</x:v>
      </x:c>
      <x:c r="E21" s="7" t="str">
        <x:v>Remove</x:v>
      </x:c>
      <x:c r="F21" s="26" t="n">
        <x:v>1</x:v>
      </x:c>
      <x:c r="G21" s="26" t="n">
        <x:v>0</x:v>
      </x:c>
      <x:c r="H21" s="26" t="n">
        <x:v>3</x:v>
      </x:c>
      <x:c r="I21" s="26" t="n">
        <x:v>2</x:v>
      </x:c>
      <x:c r="J21" s="26" t="n">
        <x:v>0</x:v>
      </x:c>
      <x:c r="K21" s="26" t="n">
        <x:v>0</x:v>
      </x:c>
      <x:c r="L21" s="26" t="n">
        <x:v>0</x:v>
      </x:c>
      <x:c r="M21" s="26" t="n">
        <x:v>0</x:v>
      </x:c>
      <x:c r="N21" s="7" t="str">
        <x:v>COVERED</x:v>
      </x:c>
      <x:c r="O21" s="7" t="str">
        <x:v>3 on hand covers 2-lens target</x:v>
      </x:c>
    </x:row>
    <x:row r="22" ht="20" customHeight="1">
      <x:c r="A22" s="7" t="n">
        <x:v>16</x:v>
      </x:c>
      <x:c r="B22" s="27" t="str">
        <x:f>"0011918737"</x:f>
        <x:v>0011918737</x:v>
      </x:c>
      <x:c r="C22" s="7" t="str">
        <x:v>65F +50sph</x:v>
      </x:c>
      <x:c r="D22" s="28" t="str">
        <x:v>NO-GO</x:v>
      </x:c>
      <x:c r="E22" s="7" t="str">
        <x:v>Remove</x:v>
      </x:c>
      <x:c r="F22" s="26" t="n">
        <x:v>2</x:v>
      </x:c>
      <x:c r="G22" s="26" t="n">
        <x:v>0</x:v>
      </x:c>
      <x:c r="H22" s="26" t="n">
        <x:v>6</x:v>
      </x:c>
      <x:c r="I22" s="26" t="n">
        <x:v>2</x:v>
      </x:c>
      <x:c r="J22" s="26" t="n">
        <x:v>0</x:v>
      </x:c>
      <x:c r="K22" s="26" t="n">
        <x:v>0</x:v>
      </x:c>
      <x:c r="L22" s="26" t="n">
        <x:v>0</x:v>
      </x:c>
      <x:c r="M22" s="26" t="n">
        <x:v>0</x:v>
      </x:c>
      <x:c r="N22" s="7" t="str">
        <x:v>COVERED</x:v>
      </x:c>
      <x:c r="O22" s="7" t="str">
        <x:v>6 on hand covers 2-lens target</x:v>
      </x:c>
    </x:row>
    <x:row r="23" ht="20" customHeight="1">
      <x:c r="A23" s="7" t="n">
        <x:v>17</x:v>
      </x:c>
      <x:c r="B23" s="27" t="str">
        <x:f>"0011920279"</x:f>
        <x:v>0011920279</x:v>
      </x:c>
      <x:c r="C23" s="7" t="str">
        <x:v>70F -25-50</x:v>
      </x:c>
      <x:c r="D23" s="28" t="str">
        <x:v>NO-GO</x:v>
      </x:c>
      <x:c r="E23" s="7" t="str">
        <x:v>Remove</x:v>
      </x:c>
      <x:c r="F23" s="26" t="n">
        <x:v>2</x:v>
      </x:c>
      <x:c r="G23" s="26" t="n">
        <x:v>0</x:v>
      </x:c>
      <x:c r="H23" s="26" t="n">
        <x:v>4</x:v>
      </x:c>
      <x:c r="I23" s="26" t="n">
        <x:v>4</x:v>
      </x:c>
      <x:c r="J23" s="26" t="n">
        <x:v>0</x:v>
      </x:c>
      <x:c r="K23" s="26" t="n">
        <x:v>0</x:v>
      </x:c>
      <x:c r="L23" s="26" t="n">
        <x:v>2</x:v>
      </x:c>
      <x:c r="M23" s="26" t="n">
        <x:v>0</x:v>
      </x:c>
      <x:c r="N23" s="7" t="str">
        <x:v>COVERED</x:v>
      </x:c>
      <x:c r="O23" s="7" t="str">
        <x:v>4 on hand covers 3-lens target</x:v>
      </x:c>
    </x:row>
    <x:row r="24" ht="20" customHeight="1">
      <x:c r="A24" s="7" t="n">
        <x:v>18</x:v>
      </x:c>
      <x:c r="B24" s="27" t="str">
        <x:f>"0011920360"</x:f>
        <x:v>0011920360</x:v>
      </x:c>
      <x:c r="C24" s="7" t="str">
        <x:v>70F -50-50</x:v>
      </x:c>
      <x:c r="D24" s="28" t="str">
        <x:v>NO-GO</x:v>
      </x:c>
      <x:c r="E24" s="7" t="str">
        <x:v>Remove</x:v>
      </x:c>
      <x:c r="F24" s="26" t="n">
        <x:v>6</x:v>
      </x:c>
      <x:c r="G24" s="26" t="n">
        <x:v>0</x:v>
      </x:c>
      <x:c r="H24" s="26" t="n">
        <x:v>6</x:v>
      </x:c>
      <x:c r="I24" s="26" t="n">
        <x:v>3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7" t="str">
        <x:v>COVERED</x:v>
      </x:c>
      <x:c r="O24" s="7" t="str">
        <x:v>6 on hand covers 2-lens target</x:v>
      </x:c>
    </x:row>
    <x:row r="25" ht="20" customHeight="1">
      <x:c r="A25" s="7" t="n">
        <x:v>19</x:v>
      </x:c>
      <x:c r="B25" s="27" t="str">
        <x:f>"0011920543"</x:f>
        <x:v>0011920543</x:v>
      </x:c>
      <x:c r="C25" s="7" t="str">
        <x:v>70F -100-50</x:v>
      </x:c>
      <x:c r="D25" s="28" t="str">
        <x:v>NO-GO</x:v>
      </x:c>
      <x:c r="E25" s="7" t="str">
        <x:v>Reduce</x:v>
      </x:c>
      <x:c r="F25" s="26" t="n">
        <x:v>2</x:v>
      </x:c>
      <x:c r="G25" s="26" t="n">
        <x:v>1</x:v>
      </x:c>
      <x:c r="H25" s="26" t="n">
        <x:v>4</x:v>
      </x:c>
      <x:c r="I25" s="26" t="n">
        <x:v>1</x:v>
      </x:c>
      <x:c r="J25" s="26" t="n">
        <x:v>2</x:v>
      </x:c>
      <x:c r="K25" s="26" t="n">
        <x:v>0</x:v>
      </x:c>
      <x:c r="L25" s="26" t="n">
        <x:v>2</x:v>
      </x:c>
      <x:c r="M25" s="26" t="n">
        <x:v>0</x:v>
      </x:c>
      <x:c r="N25" s="7" t="str">
        <x:v>NEXT CYCLE</x:v>
      </x:c>
      <x:c r="O25" s="7" t="str">
        <x:v>4 on hand; 2 total demand in 90d</x:v>
      </x:c>
    </x:row>
    <x:row r="26" ht="20" customHeight="1">
      <x:c r="A26" s="7" t="n">
        <x:v>20</x:v>
      </x:c>
      <x:c r="B26" s="27" t="str">
        <x:f>"0011919800"</x:f>
        <x:v>0011919800</x:v>
      </x:c>
      <x:c r="C26" s="7" t="str">
        <x:v>70F +25-25</x:v>
      </x:c>
      <x:c r="D26" s="28" t="str">
        <x:v>NO-GO</x:v>
      </x:c>
      <x:c r="E26" s="7" t="str">
        <x:v>Remove</x:v>
      </x:c>
      <x:c r="F26" s="26" t="n">
        <x:v>2</x:v>
      </x:c>
      <x:c r="G26" s="26" t="n">
        <x:v>0</x:v>
      </x:c>
      <x:c r="H26" s="26" t="n">
        <x:v>5</x:v>
      </x:c>
      <x:c r="I26" s="26" t="n">
        <x:v>4</x:v>
      </x:c>
      <x:c r="J26" s="26" t="n">
        <x:v>0</x:v>
      </x:c>
      <x:c r="K26" s="26" t="n">
        <x:v>0</x:v>
      </x:c>
      <x:c r="L26" s="26" t="n">
        <x:v>0</x:v>
      </x:c>
      <x:c r="M26" s="26" t="n">
        <x:v>0</x:v>
      </x:c>
      <x:c r="N26" s="7" t="str">
        <x:v>COVERED</x:v>
      </x:c>
      <x:c r="O26" s="7" t="str">
        <x:v>5 on hand covers 2-lens target</x:v>
      </x:c>
    </x:row>
    <x:row r="27" ht="20" customHeight="1">
      <x:c r="A27" s="7" t="n">
        <x:v>21</x:v>
      </x:c>
      <x:c r="B27" s="27" t="str">
        <x:f>"0011920170"</x:f>
        <x:v>0011920170</x:v>
      </x:c>
      <x:c r="C27" s="7" t="str">
        <x:v>70F PL-25</x:v>
      </x:c>
      <x:c r="D27" s="28" t="str">
        <x:v>NO-GO</x:v>
      </x:c>
      <x:c r="E27" s="7" t="str">
        <x:v>Remove</x:v>
      </x:c>
      <x:c r="F27" s="26" t="n">
        <x:v>2</x:v>
      </x:c>
      <x:c r="G27" s="26" t="n">
        <x:v>0</x:v>
      </x:c>
      <x:c r="H27" s="26" t="n">
        <x:v>6</x:v>
      </x:c>
      <x:c r="I27" s="26" t="n">
        <x:v>8</x:v>
      </x:c>
      <x:c r="J27" s="26" t="n">
        <x:v>1</x:v>
      </x:c>
      <x:c r="K27" s="26" t="n">
        <x:v>0</x:v>
      </x:c>
      <x:c r="L27" s="26" t="n">
        <x:v>2</x:v>
      </x:c>
      <x:c r="M27" s="26" t="n">
        <x:v>0</x:v>
      </x:c>
      <x:c r="N27" s="7" t="str">
        <x:v>COVERED</x:v>
      </x:c>
      <x:c r="O27" s="7" t="str">
        <x:v>6 on hand covers 3-lens target</x:v>
      </x:c>
    </x:row>
    <x:row r="28" ht="20" customHeight="1">
      <x:c r="A28" s="7" t="n">
        <x:v>22</x:v>
      </x:c>
      <x:c r="B28" s="27" t="str">
        <x:f>"0011920261"</x:f>
        <x:v>0011920261</x:v>
      </x:c>
      <x:c r="C28" s="7" t="str">
        <x:v>70F -25-25</x:v>
      </x:c>
      <x:c r="D28" s="28" t="str">
        <x:v>NO-GO</x:v>
      </x:c>
      <x:c r="E28" s="7" t="str">
        <x:v>Remove</x:v>
      </x:c>
      <x:c r="F28" s="26" t="n">
        <x:v>2</x:v>
      </x:c>
      <x:c r="G28" s="26" t="n">
        <x:v>0</x:v>
      </x:c>
      <x:c r="H28" s="26" t="n">
        <x:v>4</x:v>
      </x:c>
      <x:c r="I28" s="26" t="n">
        <x:v>4</x:v>
      </x:c>
      <x:c r="J28" s="26" t="n">
        <x:v>1</x:v>
      </x:c>
      <x:c r="K28" s="26" t="n">
        <x:v>0</x:v>
      </x:c>
      <x:c r="L28" s="26" t="n">
        <x:v>2</x:v>
      </x:c>
      <x:c r="M28" s="26" t="n">
        <x:v>0</x:v>
      </x:c>
      <x:c r="N28" s="7" t="str">
        <x:v>COVERED</x:v>
      </x:c>
      <x:c r="O28" s="7" t="str">
        <x:v>4 on hand covers 3-lens target</x:v>
      </x:c>
    </x:row>
    <x:row r="29" ht="20" customHeight="1">
      <x:c r="A29" s="7" t="n">
        <x:v>23</x:v>
      </x:c>
      <x:c r="B29" s="27" t="str">
        <x:f>"0011920444"</x:f>
        <x:v>0011920444</x:v>
      </x:c>
      <x:c r="C29" s="7" t="str">
        <x:v>70F -75-25</x:v>
      </x:c>
      <x:c r="D29" s="28" t="str">
        <x:v>NO-GO</x:v>
      </x:c>
      <x:c r="E29" s="7" t="str">
        <x:v>Remove</x:v>
      </x:c>
      <x:c r="F29" s="26" t="n">
        <x:v>2</x:v>
      </x:c>
      <x:c r="G29" s="26" t="n">
        <x:v>0</x:v>
      </x:c>
      <x:c r="H29" s="26" t="n">
        <x:v>2</x:v>
      </x:c>
      <x:c r="I29" s="26" t="n">
        <x:v>1</x:v>
      </x:c>
      <x:c r="J29" s="26" t="n">
        <x:v>0</x:v>
      </x:c>
      <x:c r="K29" s="26" t="n">
        <x:v>0</x:v>
      </x:c>
      <x:c r="L29" s="26" t="n">
        <x:v>0</x:v>
      </x:c>
      <x:c r="M29" s="26" t="n">
        <x:v>0</x:v>
      </x:c>
      <x:c r="N29" s="7" t="str">
        <x:v>COVERED</x:v>
      </x:c>
      <x:c r="O29" s="7" t="str">
        <x:v>2 on hand covers 2-lens target</x:v>
      </x:c>
    </x:row>
    <x:row r="30" ht="20" customHeight="1">
      <x:c r="A30" s="7" t="n">
        <x:v>24</x:v>
      </x:c>
      <x:c r="B30" s="27" t="str">
        <x:f>"0011920469"</x:f>
        <x:v>0011920469</x:v>
      </x:c>
      <x:c r="C30" s="7" t="str">
        <x:v>70F -75-75</x:v>
      </x:c>
      <x:c r="D30" s="28" t="str">
        <x:v>GO</x:v>
      </x:c>
      <x:c r="E30" s="7" t="str">
        <x:v>Keep draft</x:v>
      </x:c>
      <x:c r="F30" s="26" t="n">
        <x:v>3</x:v>
      </x:c>
      <x:c r="G30" s="26" t="n">
        <x:v>3</x:v>
      </x:c>
      <x:c r="H30" s="26" t="n">
        <x:v>2</x:v>
      </x:c>
      <x:c r="I30" s="26" t="n">
        <x:v>2</x:v>
      </x:c>
      <x:c r="J30" s="26" t="n">
        <x:v>2</x:v>
      </x:c>
      <x:c r="K30" s="26" t="n">
        <x:v>0</x:v>
      </x:c>
      <x:c r="L30" s="26" t="n">
        <x:v>2</x:v>
      </x:c>
      <x:c r="M30" s="26" t="n">
        <x:v>0</x:v>
      </x:c>
      <x:c r="N30" s="7" t="str">
        <x:v>NEXT CYCLE</x:v>
      </x:c>
      <x:c r="O30" s="7" t="str">
        <x:v>2 on hand; 2 total demand in 90d</x:v>
      </x:c>
    </x:row>
    <x:row r="31" ht="20" customHeight="1">
      <x:c r="A31" s="7" t="n">
        <x:v>25</x:v>
      </x:c>
      <x:c r="B31" s="27" t="str">
        <x:f>"0011920642"</x:f>
        <x:v>0011920642</x:v>
      </x:c>
      <x:c r="C31" s="7" t="str">
        <x:v>70F -125-75</x:v>
      </x:c>
      <x:c r="D31" s="28" t="str">
        <x:v>NO-GO</x:v>
      </x:c>
      <x:c r="E31" s="7" t="str">
        <x:v>Remove</x:v>
      </x:c>
      <x:c r="F31" s="26" t="n">
        <x:v>1</x:v>
      </x:c>
      <x:c r="G31" s="26" t="n">
        <x:v>0</x:v>
      </x:c>
      <x:c r="H31" s="26" t="n">
        <x:v>3</x:v>
      </x:c>
      <x:c r="I31" s="26" t="n">
        <x:v>2</x:v>
      </x:c>
      <x:c r="J31" s="26" t="n">
        <x:v>0</x:v>
      </x:c>
      <x:c r="K31" s="26" t="n">
        <x:v>0</x:v>
      </x:c>
      <x:c r="L31" s="26" t="n">
        <x:v>1</x:v>
      </x:c>
      <x:c r="M31" s="26" t="n">
        <x:v>0</x:v>
      </x:c>
      <x:c r="N31" s="7" t="str">
        <x:v>COVERED</x:v>
      </x:c>
      <x:c r="O31" s="7" t="str">
        <x:v>3 on hand covers 3-lens target</x:v>
      </x:c>
    </x:row>
    <x:row r="32" ht="20" customHeight="1">
      <x:c r="A32" s="7" t="n">
        <x:v>26</x:v>
      </x:c>
      <x:c r="B32" s="27" t="str">
        <x:f>"0011920733"</x:f>
        <x:v>0011920733</x:v>
      </x:c>
      <x:c r="C32" s="7" t="str">
        <x:v>70F -150-75</x:v>
      </x:c>
      <x:c r="D32" s="28" t="str">
        <x:v>NO-GO</x:v>
      </x:c>
      <x:c r="E32" s="7" t="str">
        <x:v>Reduce</x:v>
      </x:c>
      <x:c r="F32" s="26" t="n">
        <x:v>2</x:v>
      </x:c>
      <x:c r="G32" s="26" t="n">
        <x:v>1</x:v>
      </x:c>
      <x:c r="H32" s="26" t="n">
        <x:v>2</x:v>
      </x:c>
      <x:c r="I32" s="26" t="n">
        <x:v>4</x:v>
      </x:c>
      <x:c r="J32" s="26" t="n">
        <x:v>2</x:v>
      </x:c>
      <x:c r="K32" s="26" t="n">
        <x:v>0</x:v>
      </x:c>
      <x:c r="L32" s="26" t="n">
        <x:v>2</x:v>
      </x:c>
      <x:c r="M32" s="26" t="n">
        <x:v>0</x:v>
      </x:c>
      <x:c r="N32" s="7" t="str">
        <x:v>NEXT CYCLE</x:v>
      </x:c>
      <x:c r="O32" s="7" t="str">
        <x:v>2 on hand; 2 total demand in 90d</x:v>
      </x:c>
    </x:row>
    <x:row r="33" ht="20" customHeight="1">
      <x:c r="A33" s="7" t="n">
        <x:v>27</x:v>
      </x:c>
      <x:c r="B33" s="27" t="str">
        <x:f>"0011919826"</x:f>
        <x:v>0011919826</x:v>
      </x:c>
      <x:c r="C33" s="7" t="str">
        <x:v>70F +25-75</x:v>
      </x:c>
      <x:c r="D33" s="28" t="str">
        <x:v>NO-GO</x:v>
      </x:c>
      <x:c r="E33" s="7" t="str">
        <x:v>Reduce</x:v>
      </x:c>
      <x:c r="F33" s="26" t="n">
        <x:v>4</x:v>
      </x:c>
      <x:c r="G33" s="26" t="n">
        <x:v>1</x:v>
      </x:c>
      <x:c r="H33" s="26" t="n">
        <x:v>2</x:v>
      </x:c>
      <x:c r="I33" s="26" t="n">
        <x:v>3</x:v>
      </x:c>
      <x:c r="J33" s="26" t="n">
        <x:v>1</x:v>
      </x:c>
      <x:c r="K33" s="26" t="n">
        <x:v>0</x:v>
      </x:c>
      <x:c r="L33" s="26" t="n">
        <x:v>2</x:v>
      </x:c>
      <x:c r="M33" s="26" t="n">
        <x:v>0</x:v>
      </x:c>
      <x:c r="N33" s="7" t="str">
        <x:v>NEXT CYCLE</x:v>
      </x:c>
      <x:c r="O33" s="7" t="str">
        <x:v>2 on hand; 2 total demand in 90d</x:v>
      </x:c>
    </x:row>
    <x:row r="34" ht="20" customHeight="1">
      <x:c r="A34" s="7" t="n">
        <x:v>28</x:v>
      </x:c>
      <x:c r="B34" s="27" t="str">
        <x:f>"0011920196"</x:f>
        <x:v>0011920196</x:v>
      </x:c>
      <x:c r="C34" s="7" t="str">
        <x:v>70F PL-75</x:v>
      </x:c>
      <x:c r="D34" s="28" t="str">
        <x:v>GO</x:v>
      </x:c>
      <x:c r="E34" s="7" t="str">
        <x:v>Keep draft</x:v>
      </x:c>
      <x:c r="F34" s="26" t="n">
        <x:v>3</x:v>
      </x:c>
      <x:c r="G34" s="26" t="n">
        <x:v>3</x:v>
      </x:c>
      <x:c r="H34" s="26" t="n">
        <x:v>2</x:v>
      </x:c>
      <x:c r="I34" s="26" t="n">
        <x:v>4</x:v>
      </x:c>
      <x:c r="J34" s="26" t="n">
        <x:v>10</x:v>
      </x:c>
      <x:c r="K34" s="26" t="n">
        <x:v>0</x:v>
      </x:c>
      <x:c r="L34" s="26" t="n">
        <x:v>4</x:v>
      </x:c>
      <x:c r="M34" s="26" t="n">
        <x:v>0</x:v>
      </x:c>
      <x:c r="N34" s="7" t="str">
        <x:v>NEXT CYCLE</x:v>
      </x:c>
      <x:c r="O34" s="7" t="str">
        <x:v>2 on hand; 4 total demand in 90d</x:v>
      </x:c>
    </x:row>
    <x:row r="35" ht="20" customHeight="1">
      <x:c r="A35" s="7" t="n">
        <x:v>29</x:v>
      </x:c>
      <x:c r="B35" s="27" t="str">
        <x:f>"0011920634"</x:f>
        <x:v>0011920634</x:v>
      </x:c>
      <x:c r="C35" s="7" t="str">
        <x:v>70F -125-50</x:v>
      </x:c>
      <x:c r="D35" s="28" t="str">
        <x:v>NO-GO</x:v>
      </x:c>
      <x:c r="E35" s="7" t="str">
        <x:v>Remove</x:v>
      </x:c>
      <x:c r="F35" s="26" t="n">
        <x:v>1</x:v>
      </x:c>
      <x:c r="G35" s="26" t="n">
        <x:v>0</x:v>
      </x:c>
      <x:c r="H35" s="26" t="n">
        <x:v>4</x:v>
      </x:c>
      <x:c r="I35" s="26" t="n">
        <x:v>2</x:v>
      </x:c>
      <x:c r="J35" s="26" t="n">
        <x:v>0</x:v>
      </x:c>
      <x:c r="K35" s="26" t="n">
        <x:v>0</x:v>
      </x:c>
      <x:c r="L35" s="26" t="n">
        <x:v>1</x:v>
      </x:c>
      <x:c r="M35" s="26" t="n">
        <x:v>0</x:v>
      </x:c>
      <x:c r="N35" s="7" t="str">
        <x:v>COVERED</x:v>
      </x:c>
      <x:c r="O35" s="7" t="str">
        <x:v>4 on hand covers 3-lens target</x:v>
      </x:c>
    </x:row>
    <x:row r="36" ht="20" customHeight="1">
      <x:c r="A36" s="7" t="n">
        <x:v>30</x:v>
      </x:c>
      <x:c r="B36" s="27" t="str">
        <x:f>"0012443404"</x:f>
        <x:v>0012443404</x:v>
      </x:c>
      <x:c r="C36" s="7" t="str">
        <x:v>80S 450/225</x:v>
      </x:c>
      <x:c r="D36" s="28" t="str">
        <x:v>GO</x:v>
      </x:c>
      <x:c r="E36" s="7" t="str">
        <x:v>Keep draft</x:v>
      </x:c>
      <x:c r="F36" s="26" t="n">
        <x:v>1</x:v>
      </x:c>
      <x:c r="G36" s="26" t="n">
        <x:v>1</x:v>
      </x:c>
      <x:c r="H36" s="26" t="n">
        <x:v>1</x:v>
      </x:c>
      <x:c r="I36" s="26" t="n">
        <x:v>2</x:v>
      </x:c>
      <x:c r="J36" s="26" t="n">
        <x:v>0</x:v>
      </x:c>
      <x:c r="K36" s="26" t="n">
        <x:v>0</x:v>
      </x:c>
      <x:c r="L36" s="26" t="n">
        <x:v>0</x:v>
      </x:c>
      <x:c r="M36" s="26" t="n">
        <x:v>0</x:v>
      </x:c>
      <x:c r="N36" s="7" t="str">
        <x:v>NEXT CYCLE</x:v>
      </x:c>
      <x:c r="O36" s="7" t="str">
        <x:v>1 on hand; 0 total demand in 90d</x:v>
      </x:c>
    </x:row>
    <x:row r="37" ht="20" customHeight="1">
      <x:c r="A37" s="7" t="n">
        <x:v>31</x:v>
      </x:c>
      <x:c r="B37" s="27" t="str">
        <x:f>"0012443735"</x:f>
        <x:v>0012443735</x:v>
      </x:c>
      <x:c r="C37" s="7" t="str">
        <x:v>80S 450/225</x:v>
      </x:c>
      <x:c r="D37" s="28" t="str">
        <x:v>GO</x:v>
      </x:c>
      <x:c r="E37" s="7" t="str">
        <x:v>Keep draft</x:v>
      </x:c>
      <x:c r="F37" s="26" t="n">
        <x:v>1</x:v>
      </x:c>
      <x:c r="G37" s="26" t="n">
        <x:v>1</x:v>
      </x:c>
      <x:c r="H37" s="26" t="n">
        <x:v>1</x:v>
      </x:c>
      <x:c r="I37" s="26" t="n">
        <x:v>2</x:v>
      </x:c>
      <x:c r="J37" s="26" t="n">
        <x:v>0</x:v>
      </x:c>
      <x:c r="K37" s="26" t="n">
        <x:v>0</x:v>
      </x:c>
      <x:c r="L37" s="26" t="n">
        <x:v>0</x:v>
      </x:c>
      <x:c r="M37" s="26" t="n">
        <x:v>0</x:v>
      </x:c>
      <x:c r="N37" s="7" t="str">
        <x:v>NEXT CYCLE</x:v>
      </x:c>
      <x:c r="O37" s="7" t="str">
        <x:v>1 on hand; 0 total demand in 90d</x:v>
      </x:c>
    </x:row>
    <x:row r="38" ht="20" customHeight="1">
      <x:c r="A38" s="7" t="n">
        <x:v>32</x:v>
      </x:c>
      <x:c r="B38" s="27" t="str">
        <x:f>"0011936085"</x:f>
        <x:v>0011936085</x:v>
      </x:c>
      <x:c r="C38" s="7" t="str">
        <x:v>75S 225/250</x:v>
      </x:c>
      <x:c r="D38" s="28" t="str">
        <x:v>GO</x:v>
      </x:c>
      <x:c r="E38" s="7" t="str">
        <x:v>Keep draft</x:v>
      </x:c>
      <x:c r="F38" s="26" t="n">
        <x:v>3</x:v>
      </x:c>
      <x:c r="G38" s="26" t="n">
        <x:v>3</x:v>
      </x:c>
      <x:c r="H38" s="26" t="n">
        <x:v>0</x:v>
      </x:c>
      <x:c r="I38" s="26" t="n">
        <x:v>5</x:v>
      </x:c>
      <x:c r="J38" s="26" t="n">
        <x:v>0</x:v>
      </x:c>
      <x:c r="K38" s="26" t="n">
        <x:v>0</x:v>
      </x:c>
      <x:c r="L38" s="26" t="n">
        <x:v>2</x:v>
      </x:c>
      <x:c r="M38" s="26" t="n">
        <x:v>0</x:v>
      </x:c>
      <x:c r="N38" s="7" t="str">
        <x:v>ORDER NOW</x:v>
      </x:c>
      <x:c r="O38" s="7" t="str">
        <x:v>0 on hand; 2 total demand in 90d</x:v>
      </x:c>
    </x:row>
    <x:row r="39" ht="20" customHeight="1">
      <x:c r="A39" s="7" t="n">
        <x:v>33</x:v>
      </x:c>
      <x:c r="B39" s="27" t="str">
        <x:f>"0011936077"</x:f>
        <x:v>0011936077</x:v>
      </x:c>
      <x:c r="C39" s="7" t="str">
        <x:v>75S 225/250</x:v>
      </x:c>
      <x:c r="D39" s="28" t="str">
        <x:v>GO</x:v>
      </x:c>
      <x:c r="E39" s="7" t="str">
        <x:v>Keep draft</x:v>
      </x:c>
      <x:c r="F39" s="26" t="n">
        <x:v>3</x:v>
      </x:c>
      <x:c r="G39" s="26" t="n">
        <x:v>3</x:v>
      </x:c>
      <x:c r="H39" s="26" t="n">
        <x:v>0</x:v>
      </x:c>
      <x:c r="I39" s="26" t="n">
        <x:v>5</x:v>
      </x:c>
      <x:c r="J39" s="26" t="n">
        <x:v>0</x:v>
      </x:c>
      <x:c r="K39" s="26" t="n">
        <x:v>0</x:v>
      </x:c>
      <x:c r="L39" s="26" t="n">
        <x:v>2</x:v>
      </x:c>
      <x:c r="M39" s="26" t="n">
        <x:v>0</x:v>
      </x:c>
      <x:c r="N39" s="7" t="str">
        <x:v>ORDER NOW</x:v>
      </x:c>
      <x:c r="O39" s="7" t="str">
        <x:v>0 on hand; 2 total demand in 90d</x:v>
      </x:c>
    </x:row>
    <x:row r="40" ht="20" customHeight="1">
      <x:c r="A40" s="7" t="n">
        <x:v>34</x:v>
      </x:c>
      <x:c r="B40" s="27" t="str">
        <x:f>"0011936127"</x:f>
        <x:v>0011936127</x:v>
      </x:c>
      <x:c r="C40" s="7" t="str">
        <x:v>75S 225/300</x:v>
      </x:c>
      <x:c r="D40" s="28" t="str">
        <x:v>GO</x:v>
      </x:c>
      <x:c r="E40" s="7" t="str">
        <x:v>Keep draft</x:v>
      </x:c>
      <x:c r="F40" s="26" t="n">
        <x:v>3</x:v>
      </x:c>
      <x:c r="G40" s="26" t="n">
        <x:v>3</x:v>
      </x:c>
      <x:c r="H40" s="26" t="n">
        <x:v>0</x:v>
      </x:c>
      <x:c r="I40" s="26" t="n">
        <x:v>6</x:v>
      </x:c>
      <x:c r="J40" s="26" t="n">
        <x:v>0</x:v>
      </x:c>
      <x:c r="K40" s="26" t="n">
        <x:v>1</x:v>
      </x:c>
      <x:c r="L40" s="26" t="n">
        <x:v>1</x:v>
      </x:c>
      <x:c r="M40" s="26" t="n">
        <x:v>0</x:v>
      </x:c>
      <x:c r="N40" s="7" t="str">
        <x:v>ORDER NOW</x:v>
      </x:c>
      <x:c r="O40" s="7" t="str">
        <x:v>0 on hand; 1 total demand in 90d</x:v>
      </x:c>
    </x:row>
    <x:row r="41" ht="20" customHeight="1">
      <x:c r="A41" s="7" t="n">
        <x:v>35</x:v>
      </x:c>
      <x:c r="B41" s="27" t="str">
        <x:f>"0011936119"</x:f>
        <x:v>0011936119</x:v>
      </x:c>
      <x:c r="C41" s="7" t="str">
        <x:v>75S 225/300</x:v>
      </x:c>
      <x:c r="D41" s="28" t="str">
        <x:v>GO</x:v>
      </x:c>
      <x:c r="E41" s="7" t="str">
        <x:v>Keep draft</x:v>
      </x:c>
      <x:c r="F41" s="26" t="n">
        <x:v>3</x:v>
      </x:c>
      <x:c r="G41" s="26" t="n">
        <x:v>3</x:v>
      </x:c>
      <x:c r="H41" s="26" t="n">
        <x:v>0</x:v>
      </x:c>
      <x:c r="I41" s="26" t="n">
        <x:v>6</x:v>
      </x:c>
      <x:c r="J41" s="26" t="n">
        <x:v>0</x:v>
      </x:c>
      <x:c r="K41" s="26" t="n">
        <x:v>1</x:v>
      </x:c>
      <x:c r="L41" s="26" t="n">
        <x:v>1</x:v>
      </x:c>
      <x:c r="M41" s="26" t="n">
        <x:v>0</x:v>
      </x:c>
      <x:c r="N41" s="7" t="str">
        <x:v>ORDER NOW</x:v>
      </x:c>
      <x:c r="O41" s="7" t="str">
        <x:v>0 on hand; 1 total demand in 90d</x:v>
      </x:c>
    </x:row>
    <x:row r="42" ht="20" customHeight="1">
      <x:c r="A42" s="7" t="n">
        <x:v>36</x:v>
      </x:c>
      <x:c r="B42" s="27" t="str">
        <x:f>"0011936309"</x:f>
        <x:v>0011936309</x:v>
      </x:c>
      <x:c r="C42" s="7" t="str">
        <x:v>75S 425/250</x:v>
      </x:c>
      <x:c r="D42" s="28" t="str">
        <x:v>NO-GO</x:v>
      </x:c>
      <x:c r="E42" s="7" t="str">
        <x:v>Reduce</x:v>
      </x:c>
      <x:c r="F42" s="26" t="n">
        <x:v>4</x:v>
      </x:c>
      <x:c r="G42" s="26" t="n">
        <x:v>1</x:v>
      </x:c>
      <x:c r="H42" s="26" t="n">
        <x:v>1</x:v>
      </x:c>
      <x:c r="I42" s="26" t="n">
        <x:v>6</x:v>
      </x:c>
      <x:c r="J42" s="26" t="n">
        <x:v>0</x:v>
      </x:c>
      <x:c r="K42" s="26" t="n">
        <x:v>0</x:v>
      </x:c>
      <x:c r="L42" s="26" t="n">
        <x:v>1</x:v>
      </x:c>
      <x:c r="M42" s="26" t="n">
        <x:v>0</x:v>
      </x:c>
      <x:c r="N42" s="7" t="str">
        <x:v>NEXT CYCLE</x:v>
      </x:c>
      <x:c r="O42" s="7" t="str">
        <x:v>1 on hand; 1 total demand in 90d</x:v>
      </x:c>
    </x:row>
    <x:row r="43" ht="20" customHeight="1">
      <x:c r="A43" s="7" t="n">
        <x:v>37</x:v>
      </x:c>
      <x:c r="B43" s="27" t="str">
        <x:f>"0011936291"</x:f>
        <x:v>0011936291</x:v>
      </x:c>
      <x:c r="C43" s="7" t="str">
        <x:v>75S 425/250</x:v>
      </x:c>
      <x:c r="D43" s="28" t="str">
        <x:v>NO-GO</x:v>
      </x:c>
      <x:c r="E43" s="7" t="str">
        <x:v>Reduce</x:v>
      </x:c>
      <x:c r="F43" s="26" t="n">
        <x:v>4</x:v>
      </x:c>
      <x:c r="G43" s="26" t="n">
        <x:v>3</x:v>
      </x:c>
      <x:c r="H43" s="26" t="n">
        <x:v>0</x:v>
      </x:c>
      <x:c r="I43" s="26" t="n">
        <x:v>7</x:v>
      </x:c>
      <x:c r="J43" s="26" t="n">
        <x:v>0</x:v>
      </x:c>
      <x:c r="K43" s="26" t="n">
        <x:v>0</x:v>
      </x:c>
      <x:c r="L43" s="26" t="n">
        <x:v>1</x:v>
      </x:c>
      <x:c r="M43" s="26" t="n">
        <x:v>0</x:v>
      </x:c>
      <x:c r="N43" s="7" t="str">
        <x:v>ORDER NOW</x:v>
      </x:c>
      <x:c r="O43" s="7" t="str">
        <x:v>0 on hand; 1 total demand in 90d</x:v>
      </x:c>
    </x:row>
    <x:row r="44" ht="20" customHeight="1">
      <x:c r="A44" s="7" t="n">
        <x:v>38</x:v>
      </x:c>
      <x:c r="B44" s="27" t="str">
        <x:f>"0011936549"</x:f>
        <x:v>0011936549</x:v>
      </x:c>
      <x:c r="C44" s="7" t="str">
        <x:v>75S 625/275</x:v>
      </x:c>
      <x:c r="D44" s="28" t="str">
        <x:v>GO</x:v>
      </x:c>
      <x:c r="E44" s="7" t="str">
        <x:v>Keep draft</x:v>
      </x:c>
      <x:c r="F44" s="26" t="n">
        <x:v>2</x:v>
      </x:c>
      <x:c r="G44" s="26" t="n">
        <x:v>2</x:v>
      </x:c>
      <x:c r="H44" s="26" t="n">
        <x:v>1</x:v>
      </x:c>
      <x:c r="I44" s="26" t="n">
        <x:v>6</x:v>
      </x:c>
      <x:c r="J44" s="26" t="n">
        <x:v>0</x:v>
      </x:c>
      <x:c r="K44" s="26" t="n">
        <x:v>0</x:v>
      </x:c>
      <x:c r="L44" s="26" t="n">
        <x:v>2</x:v>
      </x:c>
      <x:c r="M44" s="26" t="n">
        <x:v>0</x:v>
      </x:c>
      <x:c r="N44" s="7" t="str">
        <x:v>NEXT CYCLE</x:v>
      </x:c>
      <x:c r="O44" s="7" t="str">
        <x:v>1 on hand; 2 total demand in 90d</x:v>
      </x:c>
    </x:row>
    <x:row r="45" ht="20" customHeight="1">
      <x:c r="A45" s="7" t="n">
        <x:v>39</x:v>
      </x:c>
      <x:c r="B45" s="27" t="str">
        <x:f>"0011936531"</x:f>
        <x:v>0011936531</x:v>
      </x:c>
      <x:c r="C45" s="7" t="str">
        <x:v>75S 625/275</x:v>
      </x:c>
      <x:c r="D45" s="28" t="str">
        <x:v>GO</x:v>
      </x:c>
      <x:c r="E45" s="7" t="str">
        <x:v>Keep draft</x:v>
      </x:c>
      <x:c r="F45" s="26" t="n">
        <x:v>2</x:v>
      </x:c>
      <x:c r="G45" s="26" t="n">
        <x:v>2</x:v>
      </x:c>
      <x:c r="H45" s="26" t="n">
        <x:v>1</x:v>
      </x:c>
      <x:c r="I45" s="26" t="n">
        <x:v>6</x:v>
      </x:c>
      <x:c r="J45" s="26" t="n">
        <x:v>0</x:v>
      </x:c>
      <x:c r="K45" s="26" t="n">
        <x:v>1</x:v>
      </x:c>
      <x:c r="L45" s="26" t="n">
        <x:v>2</x:v>
      </x:c>
      <x:c r="M45" s="26" t="n">
        <x:v>0</x:v>
      </x:c>
      <x:c r="N45" s="7" t="str">
        <x:v>NEXT CYCLE</x:v>
      </x:c>
      <x:c r="O45" s="7" t="str">
        <x:v>1 on hand; 2 total demand in 90d</x:v>
      </x:c>
    </x:row>
    <x:row r="46" ht="20" customHeight="1">
      <x:c r="A46" s="7" t="n">
        <x:v>40</x:v>
      </x:c>
      <x:c r="B46" s="27" t="str">
        <x:f>"0011720174"</x:f>
        <x:v>0011720174</x:v>
      </x:c>
      <x:c r="C46" s="7" t="str">
        <x:v>75S 425/250</x:v>
      </x:c>
      <x:c r="D46" s="28" t="str">
        <x:v>GO</x:v>
      </x:c>
      <x:c r="E46" s="7" t="str">
        <x:v>Keep draft</x:v>
      </x:c>
      <x:c r="F46" s="26" t="n">
        <x:v>3</x:v>
      </x:c>
      <x:c r="G46" s="26" t="n">
        <x:v>3</x:v>
      </x:c>
      <x:c r="H46" s="26" t="n">
        <x:v>1</x:v>
      </x:c>
      <x:c r="I46" s="26" t="n">
        <x:v>3</x:v>
      </x:c>
      <x:c r="J46" s="26" t="n">
        <x:v>0</x:v>
      </x:c>
      <x:c r="K46" s="26" t="n">
        <x:v>0</x:v>
      </x:c>
      <x:c r="L46" s="26" t="n">
        <x:v>2</x:v>
      </x:c>
      <x:c r="M46" s="26" t="n">
        <x:v>0</x:v>
      </x:c>
      <x:c r="N46" s="7" t="str">
        <x:v>ORDER NOW</x:v>
      </x:c>
      <x:c r="O46" s="7" t="str">
        <x:v>1 on hand; 2 total demand in 90d</x:v>
      </x:c>
    </x:row>
    <x:row r="47" ht="20" customHeight="1">
      <x:c r="A47" s="7" t="n">
        <x:v>41</x:v>
      </x:c>
      <x:c r="B47" s="27" t="str">
        <x:f>"0011720166"</x:f>
        <x:v>0011720166</x:v>
      </x:c>
      <x:c r="C47" s="7" t="str">
        <x:v>75S 425/250</x:v>
      </x:c>
      <x:c r="D47" s="28" t="str">
        <x:v>GO</x:v>
      </x:c>
      <x:c r="E47" s="7" t="str">
        <x:v>Keep draft</x:v>
      </x:c>
      <x:c r="F47" s="26" t="n">
        <x:v>3</x:v>
      </x:c>
      <x:c r="G47" s="26" t="n">
        <x:v>3</x:v>
      </x:c>
      <x:c r="H47" s="26" t="n">
        <x:v>0</x:v>
      </x:c>
      <x:c r="I47" s="26" t="n">
        <x:v>2</x:v>
      </x:c>
      <x:c r="J47" s="26" t="n">
        <x:v>0</x:v>
      </x:c>
      <x:c r="K47" s="26" t="n">
        <x:v>0</x:v>
      </x:c>
      <x:c r="L47" s="26" t="n">
        <x:v>1</x:v>
      </x:c>
      <x:c r="M47" s="26" t="n">
        <x:v>0</x:v>
      </x:c>
      <x:c r="N47" s="7" t="str">
        <x:v>ORDER NOW</x:v>
      </x:c>
      <x:c r="O47" s="7" t="str">
        <x:v>0 on hand; 1 total demand in 90d</x:v>
      </x:c>
    </x:row>
    <x:row r="48" ht="20" customHeight="1">
      <x:c r="A48" s="7" t="n">
        <x:v>42</x:v>
      </x:c>
      <x:c r="B48" s="27" t="str">
        <x:f>"0011720232"</x:f>
        <x:v>0011720232</x:v>
      </x:c>
      <x:c r="C48" s="7" t="str">
        <x:v>75S 425/325</x:v>
      </x:c>
      <x:c r="D48" s="28" t="str">
        <x:v>GO</x:v>
      </x:c>
      <x:c r="E48" s="7" t="str">
        <x:v>Keep draft</x:v>
      </x:c>
      <x:c r="F48" s="26" t="n">
        <x:v>2</x:v>
      </x:c>
      <x:c r="G48" s="26" t="n">
        <x:v>2</x:v>
      </x:c>
      <x:c r="H48" s="26" t="n">
        <x:v>0</x:v>
      </x:c>
      <x:c r="I48" s="26" t="n">
        <x:v>5</x:v>
      </x:c>
      <x:c r="J48" s="26" t="n">
        <x:v>0</x:v>
      </x:c>
      <x:c r="K48" s="26" t="n">
        <x:v>0</x:v>
      </x:c>
      <x:c r="L48" s="26" t="n">
        <x:v>1</x:v>
      </x:c>
      <x:c r="M48" s="26" t="n">
        <x:v>1</x:v>
      </x:c>
      <x:c r="N48" s="7" t="str">
        <x:v>ORDER NOW</x:v>
      </x:c>
      <x:c r="O48" s="7" t="str">
        <x:v>0 on hand; 1 total demand in 90d</x:v>
      </x:c>
    </x:row>
    <x:row r="49" ht="20" customHeight="1">
      <x:c r="A49" s="7" t="n">
        <x:v>43</x:v>
      </x:c>
      <x:c r="B49" s="27" t="str">
        <x:f>"0011720224"</x:f>
        <x:v>0011720224</x:v>
      </x:c>
      <x:c r="C49" s="7" t="str">
        <x:v>75S 425/325</x:v>
      </x:c>
      <x:c r="D49" s="28" t="str">
        <x:v>GO</x:v>
      </x:c>
      <x:c r="E49" s="7" t="str">
        <x:v>Keep draft</x:v>
      </x:c>
      <x:c r="F49" s="26" t="n">
        <x:v>2</x:v>
      </x:c>
      <x:c r="G49" s="26" t="n">
        <x:v>2</x:v>
      </x:c>
      <x:c r="H49" s="26" t="n">
        <x:v>0</x:v>
      </x:c>
      <x:c r="I49" s="26" t="n">
        <x:v>5</x:v>
      </x:c>
      <x:c r="J49" s="26" t="n">
        <x:v>0</x:v>
      </x:c>
      <x:c r="K49" s="26" t="n">
        <x:v>0</x:v>
      </x:c>
      <x:c r="L49" s="26" t="n">
        <x:v>1</x:v>
      </x:c>
      <x:c r="M49" s="26" t="n">
        <x:v>1</x:v>
      </x:c>
      <x:c r="N49" s="7" t="str">
        <x:v>ORDER NOW</x:v>
      </x:c>
      <x:c r="O49" s="7" t="str">
        <x:v>0 on hand; 1 total demand in 90d</x:v>
      </x:c>
    </x:row>
    <x:row r="50" ht="20" customHeight="1">
      <x:c r="A50" s="7" t="n">
        <x:v>44</x:v>
      </x:c>
      <x:c r="B50" s="27" t="str">
        <x:f>"0011720455"</x:f>
        <x:v>0011720455</x:v>
      </x:c>
      <x:c r="C50" s="7" t="str">
        <x:v>75S 625/325</x:v>
      </x:c>
      <x:c r="D50" s="28" t="str">
        <x:v>GO</x:v>
      </x:c>
      <x:c r="E50" s="7" t="str">
        <x:v>Keep draft</x:v>
      </x:c>
      <x:c r="F50" s="26" t="n">
        <x:v>2</x:v>
      </x:c>
      <x:c r="G50" s="26" t="n">
        <x:v>2</x:v>
      </x:c>
      <x:c r="H50" s="26" t="n">
        <x:v>0</x:v>
      </x:c>
      <x:c r="I50" s="26" t="n">
        <x:v>3</x:v>
      </x:c>
      <x:c r="J50" s="26" t="n">
        <x:v>0</x:v>
      </x:c>
      <x:c r="K50" s="26" t="n">
        <x:v>0</x:v>
      </x:c>
      <x:c r="L50" s="26" t="n">
        <x:v>2</x:v>
      </x:c>
      <x:c r="M50" s="26" t="n">
        <x:v>0</x:v>
      </x:c>
      <x:c r="N50" s="7" t="str">
        <x:v>ORDER NOW</x:v>
      </x:c>
      <x:c r="O50" s="7" t="str">
        <x:v>0 on hand; 2 total demand in 90d</x:v>
      </x:c>
    </x:row>
    <x:row r="51" ht="20" customHeight="1">
      <x:c r="A51" s="7" t="n">
        <x:v>45</x:v>
      </x:c>
      <x:c r="B51" s="27" t="str">
        <x:f>"0011720448"</x:f>
        <x:v>0011720448</x:v>
      </x:c>
      <x:c r="C51" s="7" t="str">
        <x:v>75S 625/325</x:v>
      </x:c>
      <x:c r="D51" s="28" t="str">
        <x:v>GO</x:v>
      </x:c>
      <x:c r="E51" s="7" t="str">
        <x:v>Keep draft</x:v>
      </x:c>
      <x:c r="F51" s="26" t="n">
        <x:v>2</x:v>
      </x:c>
      <x:c r="G51" s="26" t="n">
        <x:v>2</x:v>
      </x:c>
      <x:c r="H51" s="26" t="n">
        <x:v>0</x:v>
      </x:c>
      <x:c r="I51" s="26" t="n">
        <x:v>3</x:v>
      </x:c>
      <x:c r="J51" s="26" t="n">
        <x:v>0</x:v>
      </x:c>
      <x:c r="K51" s="26" t="n">
        <x:v>0</x:v>
      </x:c>
      <x:c r="L51" s="26" t="n">
        <x:v>2</x:v>
      </x:c>
      <x:c r="M51" s="26" t="n">
        <x:v>0</x:v>
      </x:c>
      <x:c r="N51" s="7" t="str">
        <x:v>ORDER NOW</x:v>
      </x:c>
      <x:c r="O51" s="7" t="str">
        <x:v>0 on hand; 2 total demand in 90d</x:v>
      </x:c>
    </x:row>
    <x:row r="52" ht="20" customHeight="1">
      <x:c r="A52" s="7" t="n">
        <x:v>46</x:v>
      </x:c>
      <x:c r="B52" s="27" t="str">
        <x:f>"0011476660"</x:f>
        <x:v>0011476660</x:v>
      </x:c>
      <x:c r="C52" s="7" t="str">
        <x:v>78S 650/300</x:v>
      </x:c>
      <x:c r="D52" s="28" t="str">
        <x:v>NO-GO</x:v>
      </x:c>
      <x:c r="E52" s="7" t="str">
        <x:v>Reduce</x:v>
      </x:c>
      <x:c r="F52" s="26" t="n">
        <x:v>2</x:v>
      </x:c>
      <x:c r="G52" s="26" t="n">
        <x:v>1</x:v>
      </x:c>
      <x:c r="H52" s="26" t="n">
        <x:v>1</x:v>
      </x:c>
      <x:c r="I52" s="26" t="n">
        <x:v>0</x:v>
      </x:c>
      <x:c r="J52" s="26" t="n">
        <x:v>2</x:v>
      </x:c>
      <x:c r="K52" s="26" t="n">
        <x:v>1</x:v>
      </x:c>
      <x:c r="L52" s="26" t="n">
        <x:v>1</x:v>
      </x:c>
      <x:c r="M52" s="26" t="n">
        <x:v>1</x:v>
      </x:c>
      <x:c r="N52" s="7" t="str">
        <x:v>NEXT CYCLE</x:v>
      </x:c>
      <x:c r="O52" s="7" t="str">
        <x:v>1 on hand; 1 total demand in 90d</x:v>
      </x:c>
    </x:row>
    <x:row r="53" ht="20" customHeight="1">
      <x:c r="A53" s="7" t="n">
        <x:v>47</x:v>
      </x:c>
      <x:c r="B53" s="27" t="str">
        <x:f>"0011476652"</x:f>
        <x:v>0011476652</x:v>
      </x:c>
      <x:c r="C53" s="7" t="str">
        <x:v>78S 650/300</x:v>
      </x:c>
      <x:c r="D53" s="28" t="str">
        <x:v>NO-GO</x:v>
      </x:c>
      <x:c r="E53" s="7" t="str">
        <x:v>Reduce</x:v>
      </x:c>
      <x:c r="F53" s="26" t="n">
        <x:v>2</x:v>
      </x:c>
      <x:c r="G53" s="26" t="n">
        <x:v>1</x:v>
      </x:c>
      <x:c r="H53" s="26" t="n">
        <x:v>1</x:v>
      </x:c>
      <x:c r="I53" s="26" t="n">
        <x:v>0</x:v>
      </x:c>
      <x:c r="J53" s="26" t="n">
        <x:v>2</x:v>
      </x:c>
      <x:c r="K53" s="26" t="n">
        <x:v>1</x:v>
      </x:c>
      <x:c r="L53" s="26" t="n">
        <x:v>1</x:v>
      </x:c>
      <x:c r="M53" s="26" t="n">
        <x:v>1</x:v>
      </x:c>
      <x:c r="N53" s="7" t="str">
        <x:v>NEXT CYCLE</x:v>
      </x:c>
      <x:c r="O53" s="7" t="str">
        <x:v>1 on hand; 1 total demand in 90d</x:v>
      </x:c>
    </x:row>
    <x:row r="54" ht="20" customHeight="1">
      <x:c r="A54" s="7" t="n">
        <x:v>48</x:v>
      </x:c>
      <x:c r="B54" s="27" t="str">
        <x:f>"0011476603"</x:f>
        <x:v>0011476603</x:v>
      </x:c>
      <x:c r="C54" s="7" t="str">
        <x:v>78S 650/225</x:v>
      </x:c>
      <x:c r="D54" s="28" t="str">
        <x:v>NO-GO</x:v>
      </x:c>
      <x:c r="E54" s="7" t="str">
        <x:v>Reduce</x:v>
      </x:c>
      <x:c r="F54" s="26" t="n">
        <x:v>2</x:v>
      </x:c>
      <x:c r="G54" s="26" t="n">
        <x:v>1</x:v>
      </x:c>
      <x:c r="H54" s="26" t="n">
        <x:v>2</x:v>
      </x:c>
      <x:c r="I54" s="26" t="n">
        <x:v>2</x:v>
      </x:c>
      <x:c r="J54" s="26" t="n">
        <x:v>0</x:v>
      </x:c>
      <x:c r="K54" s="26" t="n">
        <x:v>0</x:v>
      </x:c>
      <x:c r="L54" s="26" t="n">
        <x:v>1</x:v>
      </x:c>
      <x:c r="M54" s="26" t="n">
        <x:v>0</x:v>
      </x:c>
      <x:c r="N54" s="7" t="str">
        <x:v>NEXT CYCLE</x:v>
      </x:c>
      <x:c r="O54" s="7" t="str">
        <x:v>2 on hand; 1 total demand in 90d</x:v>
      </x:c>
    </x:row>
    <x:row r="55" ht="20" customHeight="1">
      <x:c r="A55" s="7" t="n">
        <x:v>49</x:v>
      </x:c>
      <x:c r="B55" s="27" t="str">
        <x:f>"0011476595"</x:f>
        <x:v>0011476595</x:v>
      </x:c>
      <x:c r="C55" s="7" t="str">
        <x:v>78S 650/225</x:v>
      </x:c>
      <x:c r="D55" s="28" t="str">
        <x:v>GO</x:v>
      </x:c>
      <x:c r="E55" s="7" t="str">
        <x:v>Keep draft</x:v>
      </x:c>
      <x:c r="F55" s="26" t="n">
        <x:v>1</x:v>
      </x:c>
      <x:c r="G55" s="26" t="n">
        <x:v>1</x:v>
      </x:c>
      <x:c r="H55" s="26" t="n">
        <x:v>1</x:v>
      </x:c>
      <x:c r="I55" s="26" t="n">
        <x:v>2</x:v>
      </x:c>
      <x:c r="J55" s="26" t="n">
        <x:v>0</x:v>
      </x:c>
      <x:c r="K55" s="26" t="n">
        <x:v>0</x:v>
      </x:c>
      <x:c r="L55" s="26" t="n">
        <x:v>1</x:v>
      </x:c>
      <x:c r="M55" s="26" t="n">
        <x:v>0</x:v>
      </x:c>
      <x:c r="N55" s="7" t="str">
        <x:v>NEXT CYCLE</x:v>
      </x:c>
      <x:c r="O55" s="7" t="str">
        <x:v>1 on hand; 1 total demand in 90d</x:v>
      </x:c>
    </x:row>
    <x:row r="56" ht="20" customHeight="1">
      <x:c r="A56" s="7" t="n">
        <x:v>50</x:v>
      </x:c>
      <x:c r="B56" s="27" t="str">
        <x:f>"0011476264"</x:f>
        <x:v>0011476264</x:v>
      </x:c>
      <x:c r="C56" s="7" t="str">
        <x:v>78S 200/250</x:v>
      </x:c>
      <x:c r="D56" s="28" t="str">
        <x:v>NO-GO</x:v>
      </x:c>
      <x:c r="E56" s="7" t="str">
        <x:v>Remove</x:v>
      </x:c>
      <x:c r="F56" s="26" t="n">
        <x:v>2</x:v>
      </x:c>
      <x:c r="G56" s="26" t="n">
        <x:v>0</x:v>
      </x:c>
      <x:c r="H56" s="26" t="n">
        <x:v>0</x:v>
      </x:c>
      <x:c r="I56" s="26" t="n">
        <x:v>0</x:v>
      </x:c>
      <x:c r="J56" s="26" t="n">
        <x:v>0</x:v>
      </x:c>
      <x:c r="K56" s="26" t="n">
        <x:v>0</x:v>
      </x:c>
      <x:c r="L56" s="26" t="n">
        <x:v>0</x:v>
      </x:c>
      <x:c r="M56" s="26" t="n">
        <x:v>0</x:v>
      </x:c>
      <x:c r="N56" s="7" t="str">
        <x:v>DORMANT</x:v>
      </x:c>
      <x:c r="O56" s="7" t="str">
        <x:v>No stock, Rx or breakage demand in 12 months</x:v>
      </x:c>
    </x:row>
    <x:row r="57" ht="20" customHeight="1">
      <x:c r="A57" s="7" t="n">
        <x:v>51</x:v>
      </x:c>
      <x:c r="B57" s="27" t="str">
        <x:f>"0011476256"</x:f>
        <x:v>0011476256</x:v>
      </x:c>
      <x:c r="C57" s="7" t="str">
        <x:v>78S 200/250</x:v>
      </x:c>
      <x:c r="D57" s="28" t="str">
        <x:v>NO-GO</x:v>
      </x:c>
      <x:c r="E57" s="7" t="str">
        <x:v>Remove</x:v>
      </x:c>
      <x:c r="F57" s="26" t="n">
        <x:v>2</x:v>
      </x:c>
      <x:c r="G57" s="26" t="n">
        <x:v>0</x:v>
      </x:c>
      <x:c r="H57" s="26" t="n">
        <x:v>0</x:v>
      </x:c>
      <x:c r="I57" s="26" t="n">
        <x:v>0</x:v>
      </x:c>
      <x:c r="J57" s="26" t="n">
        <x:v>0</x:v>
      </x:c>
      <x:c r="K57" s="26" t="n">
        <x:v>0</x:v>
      </x:c>
      <x:c r="L57" s="26" t="n">
        <x:v>0</x:v>
      </x:c>
      <x:c r="M57" s="26" t="n">
        <x:v>0</x:v>
      </x:c>
      <x:c r="N57" s="7" t="str">
        <x:v>DORMANT</x:v>
      </x:c>
      <x:c r="O57" s="7" t="str">
        <x:v>No stock, Rx or breakage demand in 12 months</x:v>
      </x:c>
    </x:row>
    <x:row r="58" ht="20" customHeight="1">
      <x:c r="A58" s="7" t="n">
        <x:v>52</x:v>
      </x:c>
      <x:c r="B58" s="27" t="str">
        <x:f>"0011308905"</x:f>
        <x:v>0011308905</x:v>
      </x:c>
      <x:c r="C58" s="7" t="str">
        <x:v>76S 450/250</x:v>
      </x:c>
      <x:c r="D58" s="28" t="str">
        <x:v>GO</x:v>
      </x:c>
      <x:c r="E58" s="7" t="str">
        <x:v>Keep draft</x:v>
      </x:c>
      <x:c r="F58" s="26" t="n">
        <x:v>1</x:v>
      </x:c>
      <x:c r="G58" s="26" t="n">
        <x:v>1</x:v>
      </x:c>
      <x:c r="H58" s="26" t="n">
        <x:v>1</x:v>
      </x:c>
      <x:c r="I58" s="26" t="n">
        <x:v>0</x:v>
      </x:c>
      <x:c r="J58" s="26" t="n">
        <x:v>1</x:v>
      </x:c>
      <x:c r="K58" s="26" t="n">
        <x:v>0</x:v>
      </x:c>
      <x:c r="L58" s="26" t="n">
        <x:v>1</x:v>
      </x:c>
      <x:c r="M58" s="26" t="n">
        <x:v>0</x:v>
      </x:c>
      <x:c r="N58" s="7" t="str">
        <x:v>NEXT CYCLE</x:v>
      </x:c>
      <x:c r="O58" s="7" t="str">
        <x:v>1 on hand; 1 total demand in 90d</x:v>
      </x:c>
    </x:row>
    <x:row r="59" ht="20" customHeight="1">
      <x:c r="A59" s="7" t="n">
        <x:v>53</x:v>
      </x:c>
      <x:c r="B59" s="27" t="str">
        <x:f>"0011308806"</x:f>
        <x:v>0011308806</x:v>
      </x:c>
      <x:c r="C59" s="7" t="str">
        <x:v>76S 450/250</x:v>
      </x:c>
      <x:c r="D59" s="28" t="str">
        <x:v>GO</x:v>
      </x:c>
      <x:c r="E59" s="7" t="str">
        <x:v>Keep draft</x:v>
      </x:c>
      <x:c r="F59" s="26" t="n">
        <x:v>1</x:v>
      </x:c>
      <x:c r="G59" s="26" t="n">
        <x:v>1</x:v>
      </x:c>
      <x:c r="H59" s="26" t="n">
        <x:v>1</x:v>
      </x:c>
      <x:c r="I59" s="26" t="n">
        <x:v>0</x:v>
      </x:c>
      <x:c r="J59" s="26" t="n">
        <x:v>1</x:v>
      </x:c>
      <x:c r="K59" s="26" t="n">
        <x:v>0</x:v>
      </x:c>
      <x:c r="L59" s="26" t="n">
        <x:v>1</x:v>
      </x:c>
      <x:c r="M59" s="26" t="n">
        <x:v>0</x:v>
      </x:c>
      <x:c r="N59" s="7" t="str">
        <x:v>NEXT CYCLE</x:v>
      </x:c>
      <x:c r="O59" s="7" t="str">
        <x:v>1 on hand; 1 total demand in 90d</x:v>
      </x:c>
    </x:row>
    <x:row r="60" ht="20" customHeight="1">
      <x:c r="A60" s="7" t="n">
        <x:v>54</x:v>
      </x:c>
      <x:c r="B60" s="27" t="str">
        <x:f>"0011901360"</x:f>
        <x:v>0011901360</x:v>
      </x:c>
      <x:c r="C60" s="7" t="str">
        <x:v>76S 425</x:v>
      </x:c>
      <x:c r="D60" s="28" t="str">
        <x:v>GO</x:v>
      </x:c>
      <x:c r="E60" s="7" t="str">
        <x:v>Keep draft</x:v>
      </x:c>
      <x:c r="F60" s="26" t="n">
        <x:v>4</x:v>
      </x:c>
      <x:c r="G60" s="26" t="n">
        <x:v>4</x:v>
      </x:c>
      <x:c r="H60" s="26" t="n">
        <x:v>4</x:v>
      </x:c>
      <x:c r="I60" s="26" t="n">
        <x:v>30</x:v>
      </x:c>
      <x:c r="J60" s="26" t="n">
        <x:v>10</x:v>
      </x:c>
      <x:c r="K60" s="26" t="n">
        <x:v>2</x:v>
      </x:c>
      <x:c r="L60" s="26" t="n">
        <x:v>16</x:v>
      </x:c>
      <x:c r="M60" s="26" t="n">
        <x:v>2</x:v>
      </x:c>
      <x:c r="N60" s="7" t="str">
        <x:v>ORDER NOW</x:v>
      </x:c>
      <x:c r="O60" s="7" t="str">
        <x:v>4 on hand; 16 total demand in 90d</x:v>
      </x:c>
    </x:row>
    <x:row r="61" ht="20" customHeight="1">
      <x:c r="A61" s="7" t="n">
        <x:v>55</x:v>
      </x:c>
      <x:c r="B61" s="27" t="str">
        <x:f>"0011407244"</x:f>
        <x:v>0011407244</x:v>
      </x:c>
      <x:c r="C61" s="7" t="str">
        <x:v>76S 525</x:v>
      </x:c>
      <x:c r="D61" s="28" t="str">
        <x:v>GO</x:v>
      </x:c>
      <x:c r="E61" s="7" t="str">
        <x:v>Keep draft</x:v>
      </x:c>
      <x:c r="F61" s="26" t="n">
        <x:v>5</x:v>
      </x:c>
      <x:c r="G61" s="26" t="n">
        <x:v>5</x:v>
      </x:c>
      <x:c r="H61" s="26" t="n">
        <x:v>-2</x:v>
      </x:c>
      <x:c r="I61" s="26" t="n">
        <x:v>4</x:v>
      </x:c>
      <x:c r="J61" s="26" t="n">
        <x:v>0</x:v>
      </x:c>
      <x:c r="K61" s="26" t="n">
        <x:v>0</x:v>
      </x:c>
      <x:c r="L61" s="26" t="n">
        <x:v>4</x:v>
      </x:c>
      <x:c r="M61" s="26" t="n">
        <x:v>0</x:v>
      </x:c>
      <x:c r="N61" s="7" t="str">
        <x:v>ORDER NOW</x:v>
      </x:c>
      <x:c r="O61" s="7" t="str">
        <x:v>-2 on hand; 4 total demand in 90d</x:v>
      </x:c>
    </x:row>
    <x:row r="62" ht="20" customHeight="1">
      <x:c r="A62" s="7" t="n">
        <x:v>56</x:v>
      </x:c>
      <x:c r="B62" s="27" t="str">
        <x:f>"0011893922"</x:f>
        <x:v>0011893922</x:v>
      </x:c>
      <x:c r="C62" s="7" t="str">
        <x:v>65S 50</x:v>
      </x:c>
      <x:c r="D62" s="28" t="str">
        <x:v>GO</x:v>
      </x:c>
      <x:c r="E62" s="7" t="str">
        <x:v>Keep draft</x:v>
      </x:c>
      <x:c r="F62" s="26" t="n">
        <x:v>4</x:v>
      </x:c>
      <x:c r="G62" s="26" t="n">
        <x:v>4</x:v>
      </x:c>
      <x:c r="H62" s="26" t="n">
        <x:v>0</x:v>
      </x:c>
      <x:c r="I62" s="26" t="n">
        <x:v>16</x:v>
      </x:c>
      <x:c r="J62" s="26" t="n">
        <x:v>0</x:v>
      </x:c>
      <x:c r="K62" s="26" t="n">
        <x:v>0</x:v>
      </x:c>
      <x:c r="L62" s="26" t="n">
        <x:v>7</x:v>
      </x:c>
      <x:c r="M62" s="26" t="n">
        <x:v>0</x:v>
      </x:c>
      <x:c r="N62" s="7" t="str">
        <x:v>ORDER NOW</x:v>
      </x:c>
      <x:c r="O62" s="7" t="str">
        <x:v>0 on hand; 7 total demand in 90d</x:v>
      </x:c>
    </x:row>
    <x:row r="63" ht="20" customHeight="1">
      <x:c r="A63" s="7" t="n">
        <x:v>57</x:v>
      </x:c>
      <x:c r="B63" s="27" t="str">
        <x:f>"0011893880"</x:f>
        <x:v>0011893880</x:v>
      </x:c>
      <x:c r="C63" s="7" t="str">
        <x:v>65S 100</x:v>
      </x:c>
      <x:c r="D63" s="28" t="str">
        <x:v>GO</x:v>
      </x:c>
      <x:c r="E63" s="7" t="str">
        <x:v>Keep draft</x:v>
      </x:c>
      <x:c r="F63" s="26" t="n">
        <x:v>4</x:v>
      </x:c>
      <x:c r="G63" s="26" t="n">
        <x:v>4</x:v>
      </x:c>
      <x:c r="H63" s="26" t="n">
        <x:v>0</x:v>
      </x:c>
      <x:c r="I63" s="26" t="n">
        <x:v>23</x:v>
      </x:c>
      <x:c r="J63" s="26" t="n">
        <x:v>0</x:v>
      </x:c>
      <x:c r="K63" s="26" t="n">
        <x:v>0</x:v>
      </x:c>
      <x:c r="L63" s="26" t="n">
        <x:v>8</x:v>
      </x:c>
      <x:c r="M63" s="26" t="n">
        <x:v>0</x:v>
      </x:c>
      <x:c r="N63" s="7" t="str">
        <x:v>ORDER NOW</x:v>
      </x:c>
      <x:c r="O63" s="7" t="str">
        <x:v>0 on hand; 8 total demand in 90d</x:v>
      </x:c>
    </x:row>
    <x:row r="64" ht="20" customHeight="1">
      <x:c r="A64" s="7" t="n">
        <x:v>58</x:v>
      </x:c>
      <x:c r="B64" s="27" t="str">
        <x:f>"0011893872"</x:f>
        <x:v>0011893872</x:v>
      </x:c>
      <x:c r="C64" s="7" t="str">
        <x:v>70S 150</x:v>
      </x:c>
      <x:c r="D64" s="28" t="str">
        <x:v>GO</x:v>
      </x:c>
      <x:c r="E64" s="7" t="str">
        <x:v>Keep draft</x:v>
      </x:c>
      <x:c r="F64" s="26" t="n">
        <x:v>2</x:v>
      </x:c>
      <x:c r="G64" s="26" t="n">
        <x:v>2</x:v>
      </x:c>
      <x:c r="H64" s="26" t="n">
        <x:v>0</x:v>
      </x:c>
      <x:c r="I64" s="26" t="n">
        <x:v>13</x:v>
      </x:c>
      <x:c r="J64" s="26" t="n">
        <x:v>0</x:v>
      </x:c>
      <x:c r="K64" s="26" t="n">
        <x:v>1</x:v>
      </x:c>
      <x:c r="L64" s="26" t="n">
        <x:v>6</x:v>
      </x:c>
      <x:c r="M64" s="26" t="n">
        <x:v>0</x:v>
      </x:c>
      <x:c r="N64" s="7" t="str">
        <x:v>ORDER NOW</x:v>
      </x:c>
      <x:c r="O64" s="7" t="str">
        <x:v>0 on hand; 6 total demand in 90d</x:v>
      </x:c>
    </x:row>
    <x:row r="65" ht="20" customHeight="1">
      <x:c r="A65" s="7" t="n">
        <x:v>59</x:v>
      </x:c>
      <x:c r="B65" s="27" t="str">
        <x:f>"0011893831"</x:f>
        <x:v>0011893831</x:v>
      </x:c>
      <x:c r="C65" s="7" t="str">
        <x:v>75S 250</x:v>
      </x:c>
      <x:c r="D65" s="28" t="str">
        <x:v>GO</x:v>
      </x:c>
      <x:c r="E65" s="7" t="str">
        <x:v>Keep draft</x:v>
      </x:c>
      <x:c r="F65" s="26" t="n">
        <x:v>4</x:v>
      </x:c>
      <x:c r="G65" s="26" t="n">
        <x:v>4</x:v>
      </x:c>
      <x:c r="H65" s="26" t="n">
        <x:v>0</x:v>
      </x:c>
      <x:c r="I65" s="26" t="n">
        <x:v>29</x:v>
      </x:c>
      <x:c r="J65" s="26" t="n">
        <x:v>0</x:v>
      </x:c>
      <x:c r="K65" s="26" t="n">
        <x:v>3</x:v>
      </x:c>
      <x:c r="L65" s="26" t="n">
        <x:v>8</x:v>
      </x:c>
      <x:c r="M65" s="26" t="n">
        <x:v>0</x:v>
      </x:c>
      <x:c r="N65" s="7" t="str">
        <x:v>ORDER NOW</x:v>
      </x:c>
      <x:c r="O65" s="7" t="str">
        <x:v>0 on hand; 8 total demand in 90d</x:v>
      </x:c>
    </x:row>
    <x:row r="66" ht="20" customHeight="1">
      <x:c r="A66" s="7" t="n">
        <x:v>60</x:v>
      </x:c>
      <x:c r="B66" s="27" t="str">
        <x:f>"0011893823"</x:f>
        <x:v>0011893823</x:v>
      </x:c>
      <x:c r="C66" s="7" t="str">
        <x:v>75S 350</x:v>
      </x:c>
      <x:c r="D66" s="28" t="str">
        <x:v>GO</x:v>
      </x:c>
      <x:c r="E66" s="7" t="str">
        <x:v>Keep draft</x:v>
      </x:c>
      <x:c r="F66" s="26" t="n">
        <x:v>2</x:v>
      </x:c>
      <x:c r="G66" s="26" t="n">
        <x:v>2</x:v>
      </x:c>
      <x:c r="H66" s="26" t="n">
        <x:v>1</x:v>
      </x:c>
      <x:c r="I66" s="26" t="n">
        <x:v>19</x:v>
      </x:c>
      <x:c r="J66" s="26" t="n">
        <x:v>0</x:v>
      </x:c>
      <x:c r="K66" s="26" t="n">
        <x:v>2</x:v>
      </x:c>
      <x:c r="L66" s="26" t="n">
        <x:v>5</x:v>
      </x:c>
      <x:c r="M66" s="26" t="n">
        <x:v>0</x:v>
      </x:c>
      <x:c r="N66" s="7" t="str">
        <x:v>ORDER NOW</x:v>
      </x:c>
      <x:c r="O66" s="7" t="str">
        <x:v>1 on hand; 5 total demand in 90d</x:v>
      </x:c>
    </x:row>
    <x:row r="67" ht="20" customHeight="1">
      <x:c r="A67" s="7" t="n">
        <x:v>61</x:v>
      </x:c>
      <x:c r="B67" s="27" t="str">
        <x:f>"0011894763"</x:f>
        <x:v>0011894763</x:v>
      </x:c>
      <x:c r="C67" s="7" t="str">
        <x:v>76S 325</x:v>
      </x:c>
      <x:c r="D67" s="28" t="str">
        <x:v>GO</x:v>
      </x:c>
      <x:c r="E67" s="7" t="str">
        <x:v>Keep draft</x:v>
      </x:c>
      <x:c r="F67" s="26" t="n">
        <x:v>1</x:v>
      </x:c>
      <x:c r="G67" s="26" t="n">
        <x:v>1</x:v>
      </x:c>
      <x:c r="H67" s="26" t="n">
        <x:v>3</x:v>
      </x:c>
      <x:c r="I67" s="26" t="n">
        <x:v>2</x:v>
      </x:c>
      <x:c r="J67" s="26" t="n">
        <x:v>0</x:v>
      </x:c>
      <x:c r="K67" s="26" t="n">
        <x:v>0</x:v>
      </x:c>
      <x:c r="L67" s="26" t="n">
        <x:v>2</x:v>
      </x:c>
      <x:c r="M67" s="26" t="n">
        <x:v>0</x:v>
      </x:c>
      <x:c r="N67" s="7" t="str">
        <x:v>NEXT CYCLE</x:v>
      </x:c>
      <x:c r="O67" s="7" t="str">
        <x:v>3 on hand; 2 total demand in 90d</x:v>
      </x:c>
    </x:row>
  </x:sheetData>
  <x:conditionalFormatting sqref="D7:D67">
    <x:cfRule type="expression" dxfId="5" priority="1">
      <x:formula>$D7="GO"</x:formula>
    </x:cfRule>
    <x:cfRule type="expression" dxfId="6" priority="2">
      <x:formula>$D7="NO-GO"</x:formula>
    </x:cfRule>
  </x:conditionalFormatting>
  <x:conditionalFormatting sqref="E7:E67">
    <x:cfRule type="expression" dxfId="7" priority="3">
      <x:formula>$E7="Reduce"</x:formula>
    </x:cfRule>
    <x:cfRule type="expression" dxfId="8" priority="4">
      <x:formula>$E7="Remove"</x:formula>
    </x:cfRule>
  </x:conditionalFormatting>
  <x:conditionalFormatting sqref="M7:M67">
    <x:cfRule type="cellIs" dxfId="9" priority="5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2c6799fd564a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9" hidden="0" customWidth="1"/>
    <x:col min="4" max="4" width="17" hidden="0" customWidth="1"/>
    <x:col min="5" max="5" width="15" hidden="0" customWidth="1"/>
    <x:col min="6" max="6" width="12" hidden="0" customWidth="1"/>
    <x:col min="7" max="7" width="14" hidden="0" customWidth="1"/>
    <x:col min="8" max="8" width="11" hidden="0" customWidth="1"/>
    <x:col min="9" max="9" width="14" hidden="0" customWidth="1"/>
    <x:col min="10" max="10" width="16" hidden="0" customWidth="1"/>
    <x:col min="11" max="11" width="15" hidden="0" customWidth="1"/>
    <x:col min="12" max="12" width="15" hidden="0" customWidth="1"/>
    <x:col min="13" max="13" width="17" hidden="0" customWidth="1"/>
    <x:col min="14" max="14" width="16" hidden="0" customWidth="1"/>
    <x:col min="15" max="15" width="46" hidden="0" customWidth="1"/>
  </x:cols>
  <x:sheetData>
    <x:row r="2">
      <x:c r="A2" s="17" t="str">
        <x:v>PO 20181889 lens review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2" t="str">
        <x:v>9 October 2026 snapshot. Filter GO / NO-GO or Action to review line decisions.</x:v>
      </x:c>
    </x:row>
    <x:row r="4" ht="22" customHeight="1">
      <x:c r="A4" s="10" t="str">
        <x:v>Lines</x:v>
      </x:c>
      <x:c r="B4" s="10" t="n">
        <x:v>27</x:v>
      </x:c>
      <x:c r="C4" s="10" t="str">
        <x:v>GO</x:v>
      </x:c>
      <x:c r="D4" s="12" t="n">
        <x:v>21</x:v>
      </x:c>
      <x:c r="E4" s="10" t="str">
        <x:v>NO-GO</x:v>
      </x:c>
      <x:c r="F4" s="14" t="n">
        <x:v>6</x:v>
      </x:c>
    </x:row>
    <x:row r="6" ht="28" customHeight="1">
      <x:c r="A6" s="6" t="str">
        <x:v>Line</x:v>
      </x:c>
      <x:c r="B6" s="6" t="str">
        <x:v>SKU</x:v>
      </x:c>
      <x:c r="C6" s="6" t="str">
        <x:v>Lens</x:v>
      </x:c>
      <x:c r="D6" s="6" t="str">
        <x:v>GO / NO-GO</x:v>
      </x:c>
      <x:c r="E6" s="6" t="str">
        <x:v>Action</x:v>
      </x:c>
      <x:c r="F6" s="6" t="str">
        <x:v>Draft qty</x:v>
      </x:c>
      <x:c r="G6" s="6" t="str">
        <x:v>Suggested qty</x:v>
      </x:c>
      <x:c r="H6" s="6" t="str">
        <x:v>On hand</x:v>
      </x:c>
      <x:c r="I6" s="6" t="str">
        <x:v>Rx sold 12m</x:v>
      </x:c>
      <x:c r="J6" s="6" t="str">
        <x:v>Stock sold 12m</x:v>
      </x:c>
      <x:c r="K6" s="6" t="str">
        <x:v>Breakages 12m</x:v>
      </x:c>
      <x:c r="L6" s="6" t="str">
        <x:v>Demand 90d</x:v>
      </x:c>
      <x:c r="M6" s="6" t="str">
        <x:v>Other open qty</x:v>
      </x:c>
      <x:c r="N6" s="6" t="str">
        <x:v>Need</x:v>
      </x:c>
      <x:c r="O6" s="6" t="str">
        <x:v>Reason</x:v>
      </x:c>
    </x:row>
    <x:row r="7" ht="20" customHeight="1">
      <x:c r="A7" s="7" t="n">
        <x:v>1</x:v>
      </x:c>
      <x:c r="B7" s="27" t="str">
        <x:f>"0037918653"</x:f>
        <x:v>0037918653</x:v>
      </x:c>
      <x:c r="C7" s="7" t="str">
        <x:v>77S 400/250</x:v>
      </x:c>
      <x:c r="D7" s="28" t="str">
        <x:v>NO-GO</x:v>
      </x:c>
      <x:c r="E7" s="7" t="str">
        <x:v>Remove</x:v>
      </x:c>
      <x:c r="F7" s="26" t="n">
        <x:v>36</x:v>
      </x:c>
      <x:c r="G7" s="26" t="n">
        <x:v>0</x:v>
      </x:c>
      <x:c r="H7" s="26" t="n">
        <x:v>36</x:v>
      </x:c>
      <x:c r="I7" s="26" t="n">
        <x:v>62</x:v>
      </x:c>
      <x:c r="J7" s="26" t="n">
        <x:v>74</x:v>
      </x:c>
      <x:c r="K7" s="26" t="n">
        <x:v>0</x:v>
      </x:c>
      <x:c r="L7" s="26" t="n">
        <x:v>9</x:v>
      </x:c>
      <x:c r="M7" s="26" t="n">
        <x:v>167</x:v>
      </x:c>
      <x:c r="N7" s="7" t="str">
        <x:v>COVERED</x:v>
      </x:c>
      <x:c r="O7" s="7" t="str">
        <x:v>36 on hand covers 24-lens target</x:v>
      </x:c>
    </x:row>
    <x:row r="8" ht="20" customHeight="1">
      <x:c r="A8" s="7" t="n">
        <x:v>2</x:v>
      </x:c>
      <x:c r="B8" s="27" t="str">
        <x:f>"0037919230"</x:f>
        <x:v>0037919230</x:v>
      </x:c>
      <x:c r="C8" s="7" t="str">
        <x:v>77S 525/300</x:v>
      </x:c>
      <x:c r="D8" s="28" t="str">
        <x:v>NO-GO</x:v>
      </x:c>
      <x:c r="E8" s="7" t="str">
        <x:v>Remove</x:v>
      </x:c>
      <x:c r="F8" s="26" t="n">
        <x:v>6</x:v>
      </x:c>
      <x:c r="G8" s="26" t="n">
        <x:v>0</x:v>
      </x:c>
      <x:c r="H8" s="26" t="n">
        <x:v>27</x:v>
      </x:c>
      <x:c r="I8" s="26" t="n">
        <x:v>11</x:v>
      </x:c>
      <x:c r="J8" s="26" t="n">
        <x:v>1</x:v>
      </x:c>
      <x:c r="K8" s="26" t="n">
        <x:v>0</x:v>
      </x:c>
      <x:c r="L8" s="26" t="n">
        <x:v>4</x:v>
      </x:c>
      <x:c r="M8" s="26" t="n">
        <x:v>17</x:v>
      </x:c>
      <x:c r="N8" s="7" t="str">
        <x:v>COVERED</x:v>
      </x:c>
      <x:c r="O8" s="7" t="str">
        <x:v>27 on hand covers 4-lens target</x:v>
      </x:c>
    </x:row>
    <x:row r="9" ht="20" customHeight="1">
      <x:c r="A9" s="7" t="n">
        <x:v>3</x:v>
      </x:c>
      <x:c r="B9" s="27" t="str">
        <x:f>"0037939394"</x:f>
        <x:v>0037939394</x:v>
      </x:c>
      <x:c r="C9" s="7" t="str">
        <x:v>76S 425/250</x:v>
      </x:c>
      <x:c r="D9" s="28" t="str">
        <x:v>GO</x:v>
      </x:c>
      <x:c r="E9" s="7" t="str">
        <x:v>Keep draft</x:v>
      </x:c>
      <x:c r="F9" s="26" t="n">
        <x:v>18</x:v>
      </x:c>
      <x:c r="G9" s="26" t="n">
        <x:v>18</x:v>
      </x:c>
      <x:c r="H9" s="26" t="n">
        <x:v>10</x:v>
      </x:c>
      <x:c r="I9" s="26" t="n">
        <x:v>26</x:v>
      </x:c>
      <x:c r="J9" s="26" t="n">
        <x:v>153</x:v>
      </x:c>
      <x:c r="K9" s="26" t="n">
        <x:v>0</x:v>
      </x:c>
      <x:c r="L9" s="26" t="n">
        <x:v>47</x:v>
      </x:c>
      <x:c r="M9" s="26" t="n">
        <x:v>0</x:v>
      </x:c>
      <x:c r="N9" s="7" t="str">
        <x:v>ORDER NOW</x:v>
      </x:c>
      <x:c r="O9" s="7" t="str">
        <x:v>10 on hand; 47 total demand in 90d</x:v>
      </x:c>
    </x:row>
    <x:row r="10" ht="20" customHeight="1">
      <x:c r="A10" s="7" t="n">
        <x:v>4</x:v>
      </x:c>
      <x:c r="B10" s="27" t="str">
        <x:f>"0037939402"</x:f>
        <x:v>0037939402</x:v>
      </x:c>
      <x:c r="C10" s="7" t="str">
        <x:v>76S 425/250</x:v>
      </x:c>
      <x:c r="D10" s="28" t="str">
        <x:v>GO</x:v>
      </x:c>
      <x:c r="E10" s="7" t="str">
        <x:v>Keep draft</x:v>
      </x:c>
      <x:c r="F10" s="26" t="n">
        <x:v>15</x:v>
      </x:c>
      <x:c r="G10" s="26" t="n">
        <x:v>15</x:v>
      </x:c>
      <x:c r="H10" s="26" t="n">
        <x:v>7</x:v>
      </x:c>
      <x:c r="I10" s="26" t="n">
        <x:v>26</x:v>
      </x:c>
      <x:c r="J10" s="26" t="n">
        <x:v>158</x:v>
      </x:c>
      <x:c r="K10" s="26" t="n">
        <x:v>0</x:v>
      </x:c>
      <x:c r="L10" s="26" t="n">
        <x:v>52</x:v>
      </x:c>
      <x:c r="M10" s="26" t="n">
        <x:v>0</x:v>
      </x:c>
      <x:c r="N10" s="7" t="str">
        <x:v>ORDER NOW</x:v>
      </x:c>
      <x:c r="O10" s="7" t="str">
        <x:v>7 on hand; 52 total demand in 90d</x:v>
      </x:c>
    </x:row>
    <x:row r="11" ht="20" customHeight="1">
      <x:c r="A11" s="7" t="n">
        <x:v>5</x:v>
      </x:c>
      <x:c r="B11" s="27" t="str">
        <x:f>"0037939444"</x:f>
        <x:v>0037939444</x:v>
      </x:c>
      <x:c r="C11" s="7" t="str">
        <x:v>76S 425/275</x:v>
      </x:c>
      <x:c r="D11" s="28" t="str">
        <x:v>GO</x:v>
      </x:c>
      <x:c r="E11" s="7" t="str">
        <x:v>Keep draft</x:v>
      </x:c>
      <x:c r="F11" s="26" t="n">
        <x:v>18</x:v>
      </x:c>
      <x:c r="G11" s="26" t="n">
        <x:v>18</x:v>
      </x:c>
      <x:c r="H11" s="26" t="n">
        <x:v>2</x:v>
      </x:c>
      <x:c r="I11" s="26" t="n">
        <x:v>28</x:v>
      </x:c>
      <x:c r="J11" s="26" t="n">
        <x:v>102</x:v>
      </x:c>
      <x:c r="K11" s="26" t="n">
        <x:v>4</x:v>
      </x:c>
      <x:c r="L11" s="26" t="n">
        <x:v>39</x:v>
      </x:c>
      <x:c r="M11" s="26" t="n">
        <x:v>0</x:v>
      </x:c>
      <x:c r="N11" s="7" t="str">
        <x:v>ORDER NOW</x:v>
      </x:c>
      <x:c r="O11" s="7" t="str">
        <x:v>2 on hand; 39 total demand in 90d</x:v>
      </x:c>
    </x:row>
    <x:row r="12" ht="20" customHeight="1">
      <x:c r="A12" s="7" t="n">
        <x:v>6</x:v>
      </x:c>
      <x:c r="B12" s="27" t="str">
        <x:f>"0037939451"</x:f>
        <x:v>0037939451</x:v>
      </x:c>
      <x:c r="C12" s="7" t="str">
        <x:v>76S 425/275</x:v>
      </x:c>
      <x:c r="D12" s="28" t="str">
        <x:v>GO</x:v>
      </x:c>
      <x:c r="E12" s="7" t="str">
        <x:v>Keep draft</x:v>
      </x:c>
      <x:c r="F12" s="26" t="n">
        <x:v>20</x:v>
      </x:c>
      <x:c r="G12" s="26" t="n">
        <x:v>20</x:v>
      </x:c>
      <x:c r="H12" s="26" t="n">
        <x:v>4</x:v>
      </x:c>
      <x:c r="I12" s="26" t="n">
        <x:v>27</x:v>
      </x:c>
      <x:c r="J12" s="26" t="n">
        <x:v>97</x:v>
      </x:c>
      <x:c r="K12" s="26" t="n">
        <x:v>2</x:v>
      </x:c>
      <x:c r="L12" s="26" t="n">
        <x:v>34</x:v>
      </x:c>
      <x:c r="M12" s="26" t="n">
        <x:v>0</x:v>
      </x:c>
      <x:c r="N12" s="7" t="str">
        <x:v>ORDER NOW</x:v>
      </x:c>
      <x:c r="O12" s="7" t="str">
        <x:v>4 on hand; 34 total demand in 90d</x:v>
      </x:c>
    </x:row>
    <x:row r="13" ht="20" customHeight="1">
      <x:c r="A13" s="7" t="n">
        <x:v>7</x:v>
      </x:c>
      <x:c r="B13" s="27" t="str">
        <x:f>"0037940194"</x:f>
        <x:v>0037940194</x:v>
      </x:c>
      <x:c r="C13" s="7" t="str">
        <x:v>76S 625/200</x:v>
      </x:c>
      <x:c r="D13" s="28" t="str">
        <x:v>NO-GO</x:v>
      </x:c>
      <x:c r="E13" s="7" t="str">
        <x:v>Remove</x:v>
      </x:c>
      <x:c r="F13" s="26" t="n">
        <x:v>2</x:v>
      </x:c>
      <x:c r="G13" s="26" t="n">
        <x:v>0</x:v>
      </x:c>
      <x:c r="H13" s="26" t="n">
        <x:v>5</x:v>
      </x:c>
      <x:c r="I13" s="26" t="n">
        <x:v>1</x:v>
      </x:c>
      <x:c r="J13" s="26" t="n">
        <x:v>0</x:v>
      </x:c>
      <x:c r="K13" s="26" t="n">
        <x:v>0</x:v>
      </x:c>
      <x:c r="L13" s="26" t="n">
        <x:v>1</x:v>
      </x:c>
      <x:c r="M13" s="26" t="n">
        <x:v>0</x:v>
      </x:c>
      <x:c r="N13" s="7" t="str">
        <x:v>COVERED</x:v>
      </x:c>
      <x:c r="O13" s="7" t="str">
        <x:v>5 on hand covers 2-lens target</x:v>
      </x:c>
    </x:row>
    <x:row r="14" ht="20" customHeight="1">
      <x:c r="A14" s="7" t="n">
        <x:v>8</x:v>
      </x:c>
      <x:c r="B14" s="27" t="str">
        <x:f>"0037940202"</x:f>
        <x:v>0037940202</x:v>
      </x:c>
      <x:c r="C14" s="7" t="str">
        <x:v>76S 625/200</x:v>
      </x:c>
      <x:c r="D14" s="28" t="str">
        <x:v>NO-GO</x:v>
      </x:c>
      <x:c r="E14" s="7" t="str">
        <x:v>Remove</x:v>
      </x:c>
      <x:c r="F14" s="26" t="n">
        <x:v>2</x:v>
      </x:c>
      <x:c r="G14" s="26" t="n">
        <x:v>0</x:v>
      </x:c>
      <x:c r="H14" s="26" t="n">
        <x:v>5</x:v>
      </x:c>
      <x:c r="I14" s="26" t="n">
        <x:v>1</x:v>
      </x:c>
      <x:c r="J14" s="26" t="n">
        <x:v>0</x:v>
      </x:c>
      <x:c r="K14" s="26" t="n">
        <x:v>0</x:v>
      </x:c>
      <x:c r="L14" s="26" t="n">
        <x:v>1</x:v>
      </x:c>
      <x:c r="M14" s="26" t="n">
        <x:v>0</x:v>
      </x:c>
      <x:c r="N14" s="7" t="str">
        <x:v>COVERED</x:v>
      </x:c>
      <x:c r="O14" s="7" t="str">
        <x:v>5 on hand covers 2-lens target</x:v>
      </x:c>
    </x:row>
    <x:row r="15" ht="20" customHeight="1">
      <x:c r="A15" s="7" t="n">
        <x:v>9</x:v>
      </x:c>
      <x:c r="B15" s="27" t="str">
        <x:f>"0037940301"</x:f>
        <x:v>0037940301</x:v>
      </x:c>
      <x:c r="C15" s="7" t="str">
        <x:v>76S 625/250</x:v>
      </x:c>
      <x:c r="D15" s="28" t="str">
        <x:v>GO</x:v>
      </x:c>
      <x:c r="E15" s="7" t="str">
        <x:v>Keep draft</x:v>
      </x:c>
      <x:c r="F15" s="26" t="n">
        <x:v>15</x:v>
      </x:c>
      <x:c r="G15" s="26" t="n">
        <x:v>15</x:v>
      </x:c>
      <x:c r="H15" s="26" t="n">
        <x:v>4</x:v>
      </x:c>
      <x:c r="I15" s="26" t="n">
        <x:v>9</x:v>
      </x:c>
      <x:c r="J15" s="26" t="n">
        <x:v>92</x:v>
      </x:c>
      <x:c r="K15" s="26" t="n">
        <x:v>0</x:v>
      </x:c>
      <x:c r="L15" s="26" t="n">
        <x:v>35</x:v>
      </x:c>
      <x:c r="M15" s="26" t="n">
        <x:v>0</x:v>
      </x:c>
      <x:c r="N15" s="7" t="str">
        <x:v>ORDER NOW</x:v>
      </x:c>
      <x:c r="O15" s="7" t="str">
        <x:v>4 on hand; 35 total demand in 90d</x:v>
      </x:c>
    </x:row>
    <x:row r="16" ht="20" customHeight="1">
      <x:c r="A16" s="7" t="n">
        <x:v>10</x:v>
      </x:c>
      <x:c r="B16" s="27" t="str">
        <x:f>"0037940269"</x:f>
        <x:v>0037940269</x:v>
      </x:c>
      <x:c r="C16" s="7" t="str">
        <x:v>76S 625/250</x:v>
      </x:c>
      <x:c r="D16" s="28" t="str">
        <x:v>GO</x:v>
      </x:c>
      <x:c r="E16" s="7" t="str">
        <x:v>Keep draft</x:v>
      </x:c>
      <x:c r="F16" s="26" t="n">
        <x:v>15</x:v>
      </x:c>
      <x:c r="G16" s="26" t="n">
        <x:v>15</x:v>
      </x:c>
      <x:c r="H16" s="26" t="n">
        <x:v>4</x:v>
      </x:c>
      <x:c r="I16" s="26" t="n">
        <x:v>9</x:v>
      </x:c>
      <x:c r="J16" s="26" t="n">
        <x:v>100</x:v>
      </x:c>
      <x:c r="K16" s="26" t="n">
        <x:v>0</x:v>
      </x:c>
      <x:c r="L16" s="26" t="n">
        <x:v>38</x:v>
      </x:c>
      <x:c r="M16" s="26" t="n">
        <x:v>0</x:v>
      </x:c>
      <x:c r="N16" s="7" t="str">
        <x:v>ORDER NOW</x:v>
      </x:c>
      <x:c r="O16" s="7" t="str">
        <x:v>4 on hand; 38 total demand in 90d</x:v>
      </x:c>
    </x:row>
    <x:row r="17" ht="20" customHeight="1">
      <x:c r="A17" s="7" t="n">
        <x:v>11</x:v>
      </x:c>
      <x:c r="B17" s="27" t="str">
        <x:f>"0048064067"</x:f>
        <x:v>0048064067</x:v>
      </x:c>
      <x:c r="C17" s="7" t="str">
        <x:v>78S 400/250</x:v>
      </x:c>
      <x:c r="D17" s="28" t="str">
        <x:v>GO</x:v>
      </x:c>
      <x:c r="E17" s="7" t="str">
        <x:v>Keep draft</x:v>
      </x:c>
      <x:c r="F17" s="26" t="n">
        <x:v>1</x:v>
      </x:c>
      <x:c r="G17" s="26" t="n">
        <x:v>1</x:v>
      </x:c>
      <x:c r="H17" s="26" t="n">
        <x:v>0</x:v>
      </x:c>
      <x:c r="I17" s="26" t="n">
        <x:v>8</x:v>
      </x:c>
      <x:c r="J17" s="26" t="n">
        <x:v>0</x:v>
      </x:c>
      <x:c r="K17" s="26" t="n">
        <x:v>0</x:v>
      </x:c>
      <x:c r="L17" s="26" t="n">
        <x:v>2</x:v>
      </x:c>
      <x:c r="M17" s="26" t="n">
        <x:v>2</x:v>
      </x:c>
      <x:c r="N17" s="7" t="str">
        <x:v>ORDER NOW</x:v>
      </x:c>
      <x:c r="O17" s="7" t="str">
        <x:v>0 on hand; 2 total demand in 90d</x:v>
      </x:c>
    </x:row>
    <x:row r="18" ht="20" customHeight="1">
      <x:c r="A18" s="7" t="n">
        <x:v>12</x:v>
      </x:c>
      <x:c r="B18" s="27" t="str">
        <x:f>"0048064059"</x:f>
        <x:v>0048064059</x:v>
      </x:c>
      <x:c r="C18" s="7" t="str">
        <x:v>78S 400/250</x:v>
      </x:c>
      <x:c r="D18" s="28" t="str">
        <x:v>GO</x:v>
      </x:c>
      <x:c r="E18" s="7" t="str">
        <x:v>Keep draft</x:v>
      </x:c>
      <x:c r="F18" s="26" t="n">
        <x:v>2</x:v>
      </x:c>
      <x:c r="G18" s="26" t="n">
        <x:v>2</x:v>
      </x:c>
      <x:c r="H18" s="26" t="n">
        <x:v>1</x:v>
      </x:c>
      <x:c r="I18" s="26" t="n">
        <x:v>7</x:v>
      </x:c>
      <x:c r="J18" s="26" t="n">
        <x:v>0</x:v>
      </x:c>
      <x:c r="K18" s="26" t="n">
        <x:v>0</x:v>
      </x:c>
      <x:c r="L18" s="26" t="n">
        <x:v>2</x:v>
      </x:c>
      <x:c r="M18" s="26" t="n">
        <x:v>3</x:v>
      </x:c>
      <x:c r="N18" s="7" t="str">
        <x:v>NEXT CYCLE</x:v>
      </x:c>
      <x:c r="O18" s="7" t="str">
        <x:v>1 on hand; 2 total demand in 90d</x:v>
      </x:c>
    </x:row>
    <x:row r="19" ht="20" customHeight="1">
      <x:c r="A19" s="7" t="n">
        <x:v>13</x:v>
      </x:c>
      <x:c r="B19" s="27" t="str">
        <x:f>"0037769577"</x:f>
        <x:v>0037769577</x:v>
      </x:c>
      <x:c r="C19" s="7" t="str">
        <x:v>80S 425/125</x:v>
      </x:c>
      <x:c r="D19" s="28" t="str">
        <x:v>GO</x:v>
      </x:c>
      <x:c r="E19" s="7" t="str">
        <x:v>Keep draft</x:v>
      </x:c>
      <x:c r="F19" s="26" t="n">
        <x:v>6</x:v>
      </x:c>
      <x:c r="G19" s="26" t="n">
        <x:v>6</x:v>
      </x:c>
      <x:c r="H19" s="26" t="n">
        <x:v>0</x:v>
      </x:c>
      <x:c r="I19" s="26" t="n">
        <x:v>15</x:v>
      </x:c>
      <x:c r="J19" s="26" t="n">
        <x:v>4</x:v>
      </x:c>
      <x:c r="K19" s="26" t="n">
        <x:v>3</x:v>
      </x:c>
      <x:c r="L19" s="26" t="n">
        <x:v>6</x:v>
      </x:c>
      <x:c r="M19" s="26" t="n">
        <x:v>0</x:v>
      </x:c>
      <x:c r="N19" s="7" t="str">
        <x:v>ORDER NOW</x:v>
      </x:c>
      <x:c r="O19" s="7" t="str">
        <x:v>0 on hand; 6 total demand in 90d</x:v>
      </x:c>
    </x:row>
    <x:row r="20" ht="20" customHeight="1">
      <x:c r="A20" s="7" t="n">
        <x:v>14</x:v>
      </x:c>
      <x:c r="B20" s="27" t="str">
        <x:f>"0037769569"</x:f>
        <x:v>0037769569</x:v>
      </x:c>
      <x:c r="C20" s="7" t="str">
        <x:v>80S 425/125</x:v>
      </x:c>
      <x:c r="D20" s="28" t="str">
        <x:v>GO</x:v>
      </x:c>
      <x:c r="E20" s="7" t="str">
        <x:v>Keep draft</x:v>
      </x:c>
      <x:c r="F20" s="26" t="n">
        <x:v>6</x:v>
      </x:c>
      <x:c r="G20" s="26" t="n">
        <x:v>6</x:v>
      </x:c>
      <x:c r="H20" s="26" t="n">
        <x:v>0</x:v>
      </x:c>
      <x:c r="I20" s="26" t="n">
        <x:v>15</x:v>
      </x:c>
      <x:c r="J20" s="26" t="n">
        <x:v>4</x:v>
      </x:c>
      <x:c r="K20" s="26" t="n">
        <x:v>2</x:v>
      </x:c>
      <x:c r="L20" s="26" t="n">
        <x:v>6</x:v>
      </x:c>
      <x:c r="M20" s="26" t="n">
        <x:v>0</x:v>
      </x:c>
      <x:c r="N20" s="7" t="str">
        <x:v>ORDER NOW</x:v>
      </x:c>
      <x:c r="O20" s="7" t="str">
        <x:v>0 on hand; 6 total demand in 90d</x:v>
      </x:c>
    </x:row>
    <x:row r="21" ht="20" customHeight="1">
      <x:c r="A21" s="7" t="n">
        <x:v>15</x:v>
      </x:c>
      <x:c r="B21" s="27" t="str">
        <x:f>"0037769874"</x:f>
        <x:v>0037769874</x:v>
      </x:c>
      <x:c r="C21" s="7" t="str">
        <x:v>80S 625/225</x:v>
      </x:c>
      <x:c r="D21" s="28" t="str">
        <x:v>GO</x:v>
      </x:c>
      <x:c r="E21" s="7" t="str">
        <x:v>Keep draft</x:v>
      </x:c>
      <x:c r="F21" s="26" t="n">
        <x:v>1</x:v>
      </x:c>
      <x:c r="G21" s="26" t="n">
        <x:v>1</x:v>
      </x:c>
      <x:c r="H21" s="26" t="n">
        <x:v>1</x:v>
      </x:c>
      <x:c r="I21" s="26" t="n">
        <x:v>17</x:v>
      </x:c>
      <x:c r="J21" s="26" t="n">
        <x:v>0</x:v>
      </x:c>
      <x:c r="K21" s="26" t="n">
        <x:v>0</x:v>
      </x:c>
      <x:c r="L21" s="26" t="n">
        <x:v>4</x:v>
      </x:c>
      <x:c r="M21" s="26" t="n">
        <x:v>0</x:v>
      </x:c>
      <x:c r="N21" s="7" t="str">
        <x:v>ORDER NOW</x:v>
      </x:c>
      <x:c r="O21" s="7" t="str">
        <x:v>1 on hand; 4 total demand in 90d</x:v>
      </x:c>
    </x:row>
    <x:row r="22" ht="20" customHeight="1">
      <x:c r="A22" s="7" t="n">
        <x:v>16</x:v>
      </x:c>
      <x:c r="B22" s="27" t="str">
        <x:f>"0038116802"</x:f>
        <x:v>0038116802</x:v>
      </x:c>
      <x:c r="C22" s="7" t="str">
        <x:v>80S 275</x:v>
      </x:c>
      <x:c r="D22" s="28" t="str">
        <x:v>GO</x:v>
      </x:c>
      <x:c r="E22" s="7" t="str">
        <x:v>Keep draft</x:v>
      </x:c>
      <x:c r="F22" s="26" t="n">
        <x:v>8</x:v>
      </x:c>
      <x:c r="G22" s="26" t="n">
        <x:v>8</x:v>
      </x:c>
      <x:c r="H22" s="26" t="n">
        <x:v>4</x:v>
      </x:c>
      <x:c r="I22" s="26" t="n">
        <x:v>42</x:v>
      </x:c>
      <x:c r="J22" s="26" t="n">
        <x:v>0</x:v>
      </x:c>
      <x:c r="K22" s="26" t="n">
        <x:v>0</x:v>
      </x:c>
      <x:c r="L22" s="26" t="n">
        <x:v>8</x:v>
      </x:c>
      <x:c r="M22" s="26" t="n">
        <x:v>1</x:v>
      </x:c>
      <x:c r="N22" s="7" t="str">
        <x:v>ORDER NOW</x:v>
      </x:c>
      <x:c r="O22" s="7" t="str">
        <x:v>4 on hand; 8 total demand in 90d</x:v>
      </x:c>
    </x:row>
    <x:row r="23" ht="20" customHeight="1">
      <x:c r="A23" s="7" t="n">
        <x:v>17</x:v>
      </x:c>
      <x:c r="B23" s="27" t="str">
        <x:f>"0038116794"</x:f>
        <x:v>0038116794</x:v>
      </x:c>
      <x:c r="C23" s="7" t="str">
        <x:v>80S175</x:v>
      </x:c>
      <x:c r="D23" s="28" t="str">
        <x:v>GO</x:v>
      </x:c>
      <x:c r="E23" s="7" t="str">
        <x:v>Keep draft</x:v>
      </x:c>
      <x:c r="F23" s="26" t="n">
        <x:v>2</x:v>
      </x:c>
      <x:c r="G23" s="26" t="n">
        <x:v>2</x:v>
      </x:c>
      <x:c r="H23" s="26" t="n">
        <x:v>6</x:v>
      </x:c>
      <x:c r="I23" s="26" t="n">
        <x:v>30</x:v>
      </x:c>
      <x:c r="J23" s="26" t="n">
        <x:v>0</x:v>
      </x:c>
      <x:c r="K23" s="26" t="n">
        <x:v>0</x:v>
      </x:c>
      <x:c r="L23" s="26" t="n">
        <x:v>9</x:v>
      </x:c>
      <x:c r="M23" s="26" t="n">
        <x:v>0</x:v>
      </x:c>
      <x:c r="N23" s="7" t="str">
        <x:v>NEXT CYCLE</x:v>
      </x:c>
      <x:c r="O23" s="7" t="str">
        <x:v>6 on hand; 9 total demand in 90d</x:v>
      </x:c>
    </x:row>
    <x:row r="24" ht="20" customHeight="1">
      <x:c r="A24" s="7" t="n">
        <x:v>18</x:v>
      </x:c>
      <x:c r="B24" s="27" t="str">
        <x:f>"0048065064"</x:f>
        <x:v>0048065064</x:v>
      </x:c>
      <x:c r="C24" s="7" t="str">
        <x:v>77S 400/300</x:v>
      </x:c>
      <x:c r="D24" s="28" t="str">
        <x:v>NO-GO</x:v>
      </x:c>
      <x:c r="E24" s="7" t="str">
        <x:v>Remove</x:v>
      </x:c>
      <x:c r="F24" s="26" t="n">
        <x:v>6</x:v>
      </x:c>
      <x:c r="G24" s="26" t="n">
        <x:v>0</x:v>
      </x:c>
      <x:c r="H24" s="26" t="n">
        <x:v>12</x:v>
      </x:c>
      <x:c r="I24" s="26" t="n">
        <x:v>10</x:v>
      </x:c>
      <x:c r="J24" s="26" t="n">
        <x:v>4</x:v>
      </x:c>
      <x:c r="K24" s="26" t="n">
        <x:v>0</x:v>
      </x:c>
      <x:c r="L24" s="26" t="n">
        <x:v>0</x:v>
      </x:c>
      <x:c r="M24" s="26" t="n">
        <x:v>5</x:v>
      </x:c>
      <x:c r="N24" s="7" t="str">
        <x:v>COVERED</x:v>
      </x:c>
      <x:c r="O24" s="7" t="str">
        <x:v>12 on hand covers 4-lens target</x:v>
      </x:c>
    </x:row>
    <x:row r="25" ht="20" customHeight="1">
      <x:c r="A25" s="7" t="n">
        <x:v>19</x:v>
      </x:c>
      <x:c r="B25" s="27" t="str">
        <x:f>"0048064950"</x:f>
        <x:v>0048064950</x:v>
      </x:c>
      <x:c r="C25" s="7" t="str">
        <x:v>77S 400/175</x:v>
      </x:c>
      <x:c r="D25" s="28" t="str">
        <x:v>NO-GO</x:v>
      </x:c>
      <x:c r="E25" s="7" t="str">
        <x:v>Reduce</x:v>
      </x:c>
      <x:c r="F25" s="26" t="n">
        <x:v>3</x:v>
      </x:c>
      <x:c r="G25" s="26" t="n">
        <x:v>1</x:v>
      </x:c>
      <x:c r="H25" s="26" t="n">
        <x:v>5</x:v>
      </x:c>
      <x:c r="I25" s="26" t="n">
        <x:v>13</x:v>
      </x:c>
      <x:c r="J25" s="26" t="n">
        <x:v>14</x:v>
      </x:c>
      <x:c r="K25" s="26" t="n">
        <x:v>0</x:v>
      </x:c>
      <x:c r="L25" s="26" t="n">
        <x:v>1</x:v>
      </x:c>
      <x:c r="M25" s="26" t="n">
        <x:v>6</x:v>
      </x:c>
      <x:c r="N25" s="7" t="str">
        <x:v>NEXT CYCLE</x:v>
      </x:c>
      <x:c r="O25" s="7" t="str">
        <x:v>5 on hand; 1 total demand in 90d</x:v>
      </x:c>
    </x:row>
    <x:row r="26" ht="20" customHeight="1">
      <x:c r="A26" s="7" t="n">
        <x:v>20</x:v>
      </x:c>
      <x:c r="B26" s="27" t="str">
        <x:f>"0048065189"</x:f>
        <x:v>0048065189</x:v>
      </x:c>
      <x:c r="C26" s="7" t="str">
        <x:v>77S 525/150</x:v>
      </x:c>
      <x:c r="D26" s="28" t="str">
        <x:v>GO</x:v>
      </x:c>
      <x:c r="E26" s="7" t="str">
        <x:v>Keep draft</x:v>
      </x:c>
      <x:c r="F26" s="26" t="n">
        <x:v>2</x:v>
      </x:c>
      <x:c r="G26" s="26" t="n">
        <x:v>2</x:v>
      </x:c>
      <x:c r="H26" s="26" t="n">
        <x:v>1</x:v>
      </x:c>
      <x:c r="I26" s="26" t="n">
        <x:v>1</x:v>
      </x:c>
      <x:c r="J26" s="26" t="n">
        <x:v>0</x:v>
      </x:c>
      <x:c r="K26" s="26" t="n">
        <x:v>0</x:v>
      </x:c>
      <x:c r="L26" s="26" t="n">
        <x:v>1</x:v>
      </x:c>
      <x:c r="M26" s="26" t="n">
        <x:v>0</x:v>
      </x:c>
      <x:c r="N26" s="7" t="str">
        <x:v>NEXT CYCLE</x:v>
      </x:c>
      <x:c r="O26" s="7" t="str">
        <x:v>1 on hand; 1 total demand in 90d</x:v>
      </x:c>
    </x:row>
    <x:row r="27" ht="20" customHeight="1">
      <x:c r="A27" s="7" t="n">
        <x:v>21</x:v>
      </x:c>
      <x:c r="B27" s="27" t="str">
        <x:f>"0048065171"</x:f>
        <x:v>0048065171</x:v>
      </x:c>
      <x:c r="C27" s="7" t="str">
        <x:v>77S 525/150</x:v>
      </x:c>
      <x:c r="D27" s="28" t="str">
        <x:v>GO</x:v>
      </x:c>
      <x:c r="E27" s="7" t="str">
        <x:v>Keep draft</x:v>
      </x:c>
      <x:c r="F27" s="26" t="n">
        <x:v>2</x:v>
      </x:c>
      <x:c r="G27" s="26" t="n">
        <x:v>2</x:v>
      </x:c>
      <x:c r="H27" s="26" t="n">
        <x:v>1</x:v>
      </x:c>
      <x:c r="I27" s="26" t="n">
        <x:v>1</x:v>
      </x:c>
      <x:c r="J27" s="26" t="n">
        <x:v>0</x:v>
      </x:c>
      <x:c r="K27" s="26" t="n">
        <x:v>0</x:v>
      </x:c>
      <x:c r="L27" s="26" t="n">
        <x:v>1</x:v>
      </x:c>
      <x:c r="M27" s="26" t="n">
        <x:v>0</x:v>
      </x:c>
      <x:c r="N27" s="7" t="str">
        <x:v>NEXT CYCLE</x:v>
      </x:c>
      <x:c r="O27" s="7" t="str">
        <x:v>1 on hand; 1 total demand in 90d</x:v>
      </x:c>
    </x:row>
    <x:row r="28" ht="20" customHeight="1">
      <x:c r="A28" s="7" t="n">
        <x:v>22</x:v>
      </x:c>
      <x:c r="B28" s="27" t="str">
        <x:f>"0048065247"</x:f>
        <x:v>0048065247</x:v>
      </x:c>
      <x:c r="C28" s="7" t="str">
        <x:v>77S 525/225</x:v>
      </x:c>
      <x:c r="D28" s="28" t="str">
        <x:v>GO</x:v>
      </x:c>
      <x:c r="E28" s="7" t="str">
        <x:v>Keep draft</x:v>
      </x:c>
      <x:c r="F28" s="26" t="n">
        <x:v>3</x:v>
      </x:c>
      <x:c r="G28" s="26" t="n">
        <x:v>3</x:v>
      </x:c>
      <x:c r="H28" s="26" t="n">
        <x:v>1</x:v>
      </x:c>
      <x:c r="I28" s="26" t="n">
        <x:v>6</x:v>
      </x:c>
      <x:c r="J28" s="26" t="n">
        <x:v>8</x:v>
      </x:c>
      <x:c r="K28" s="26" t="n">
        <x:v>0</x:v>
      </x:c>
      <x:c r="L28" s="26" t="n">
        <x:v>5</x:v>
      </x:c>
      <x:c r="M28" s="26" t="n">
        <x:v>10</x:v>
      </x:c>
      <x:c r="N28" s="7" t="str">
        <x:v>ORDER NOW</x:v>
      </x:c>
      <x:c r="O28" s="7" t="str">
        <x:v>1 on hand; 5 total demand in 90d</x:v>
      </x:c>
    </x:row>
    <x:row r="29" ht="20" customHeight="1">
      <x:c r="A29" s="7" t="n">
        <x:v>23</x:v>
      </x:c>
      <x:c r="B29" s="27" t="str">
        <x:f>"0048065239"</x:f>
        <x:v>0048065239</x:v>
      </x:c>
      <x:c r="C29" s="7" t="str">
        <x:v>77S 525/225</x:v>
      </x:c>
      <x:c r="D29" s="28" t="str">
        <x:v>GO</x:v>
      </x:c>
      <x:c r="E29" s="7" t="str">
        <x:v>Keep draft</x:v>
      </x:c>
      <x:c r="F29" s="26" t="n">
        <x:v>3</x:v>
      </x:c>
      <x:c r="G29" s="26" t="n">
        <x:v>3</x:v>
      </x:c>
      <x:c r="H29" s="26" t="n">
        <x:v>1</x:v>
      </x:c>
      <x:c r="I29" s="26" t="n">
        <x:v>6</x:v>
      </x:c>
      <x:c r="J29" s="26" t="n">
        <x:v>8</x:v>
      </x:c>
      <x:c r="K29" s="26" t="n">
        <x:v>0</x:v>
      </x:c>
      <x:c r="L29" s="26" t="n">
        <x:v>5</x:v>
      </x:c>
      <x:c r="M29" s="26" t="n">
        <x:v>2</x:v>
      </x:c>
      <x:c r="N29" s="7" t="str">
        <x:v>ORDER NOW</x:v>
      </x:c>
      <x:c r="O29" s="7" t="str">
        <x:v>1 on hand; 5 total demand in 90d</x:v>
      </x:c>
    </x:row>
    <x:row r="30" ht="20" customHeight="1">
      <x:c r="A30" s="7" t="n">
        <x:v>24</x:v>
      </x:c>
      <x:c r="B30" s="27" t="str">
        <x:f>"0048065262"</x:f>
        <x:v>0048065262</x:v>
      </x:c>
      <x:c r="C30" s="7" t="str">
        <x:v>77S 525/250</x:v>
      </x:c>
      <x:c r="D30" s="28" t="str">
        <x:v>GO</x:v>
      </x:c>
      <x:c r="E30" s="7" t="str">
        <x:v>Keep draft</x:v>
      </x:c>
      <x:c r="F30" s="26" t="n">
        <x:v>3</x:v>
      </x:c>
      <x:c r="G30" s="26" t="n">
        <x:v>3</x:v>
      </x:c>
      <x:c r="H30" s="26" t="n">
        <x:v>1</x:v>
      </x:c>
      <x:c r="I30" s="26" t="n">
        <x:v>14</x:v>
      </x:c>
      <x:c r="J30" s="26" t="n">
        <x:v>18</x:v>
      </x:c>
      <x:c r="K30" s="26" t="n">
        <x:v>0</x:v>
      </x:c>
      <x:c r="L30" s="26" t="n">
        <x:v>4</x:v>
      </x:c>
      <x:c r="M30" s="26" t="n">
        <x:v>38</x:v>
      </x:c>
      <x:c r="N30" s="7" t="str">
        <x:v>ORDER NOW</x:v>
      </x:c>
      <x:c r="O30" s="7" t="str">
        <x:v>1 on hand; 4 total demand in 90d</x:v>
      </x:c>
    </x:row>
    <x:row r="31" ht="20" customHeight="1">
      <x:c r="A31" s="7" t="n">
        <x:v>25</x:v>
      </x:c>
      <x:c r="B31" s="27" t="str">
        <x:f>"0048065254"</x:f>
        <x:v>0048065254</x:v>
      </x:c>
      <x:c r="C31" s="7" t="str">
        <x:v>77S 525/250</x:v>
      </x:c>
      <x:c r="D31" s="28" t="str">
        <x:v>GO</x:v>
      </x:c>
      <x:c r="E31" s="7" t="str">
        <x:v>Keep draft</x:v>
      </x:c>
      <x:c r="F31" s="26" t="n">
        <x:v>3</x:v>
      </x:c>
      <x:c r="G31" s="26" t="n">
        <x:v>3</x:v>
      </x:c>
      <x:c r="H31" s="26" t="n">
        <x:v>1</x:v>
      </x:c>
      <x:c r="I31" s="26" t="n">
        <x:v>15</x:v>
      </x:c>
      <x:c r="J31" s="26" t="n">
        <x:v>18</x:v>
      </x:c>
      <x:c r="K31" s="26" t="n">
        <x:v>0</x:v>
      </x:c>
      <x:c r="L31" s="26" t="n">
        <x:v>4</x:v>
      </x:c>
      <x:c r="M31" s="26" t="n">
        <x:v>13</x:v>
      </x:c>
      <x:c r="N31" s="7" t="str">
        <x:v>ORDER NOW</x:v>
      </x:c>
      <x:c r="O31" s="7" t="str">
        <x:v>1 on hand; 4 total demand in 90d</x:v>
      </x:c>
    </x:row>
    <x:row r="32" ht="20" customHeight="1">
      <x:c r="A32" s="7" t="n">
        <x:v>26</x:v>
      </x:c>
      <x:c r="B32" s="27" t="str">
        <x:f>"0048065288"</x:f>
        <x:v>0048065288</x:v>
      </x:c>
      <x:c r="C32" s="7" t="str">
        <x:v>77S 525/275</x:v>
      </x:c>
      <x:c r="D32" s="28" t="str">
        <x:v>GO</x:v>
      </x:c>
      <x:c r="E32" s="7" t="str">
        <x:v>Keep draft</x:v>
      </x:c>
      <x:c r="F32" s="26" t="n">
        <x:v>4</x:v>
      </x:c>
      <x:c r="G32" s="26" t="n">
        <x:v>4</x:v>
      </x:c>
      <x:c r="H32" s="26" t="n">
        <x:v>1</x:v>
      </x:c>
      <x:c r="I32" s="26" t="n">
        <x:v>15</x:v>
      </x:c>
      <x:c r="J32" s="26" t="n">
        <x:v>13</x:v>
      </x:c>
      <x:c r="K32" s="26" t="n">
        <x:v>0</x:v>
      </x:c>
      <x:c r="L32" s="26" t="n">
        <x:v>5</x:v>
      </x:c>
      <x:c r="M32" s="26" t="n">
        <x:v>9</x:v>
      </x:c>
      <x:c r="N32" s="7" t="str">
        <x:v>ORDER NOW</x:v>
      </x:c>
      <x:c r="O32" s="7" t="str">
        <x:v>1 on hand; 5 total demand in 90d</x:v>
      </x:c>
    </x:row>
    <x:row r="33" ht="20" customHeight="1">
      <x:c r="A33" s="7" t="n">
        <x:v>27</x:v>
      </x:c>
      <x:c r="B33" s="27" t="str">
        <x:f>"0048065270"</x:f>
        <x:v>0048065270</x:v>
      </x:c>
      <x:c r="C33" s="7" t="str">
        <x:v>77S 525/275</x:v>
      </x:c>
      <x:c r="D33" s="28" t="str">
        <x:v>GO</x:v>
      </x:c>
      <x:c r="E33" s="7" t="str">
        <x:v>Keep draft</x:v>
      </x:c>
      <x:c r="F33" s="26" t="n">
        <x:v>4</x:v>
      </x:c>
      <x:c r="G33" s="26" t="n">
        <x:v>4</x:v>
      </x:c>
      <x:c r="H33" s="26" t="n">
        <x:v>1</x:v>
      </x:c>
      <x:c r="I33" s="26" t="n">
        <x:v>15</x:v>
      </x:c>
      <x:c r="J33" s="26" t="n">
        <x:v>13</x:v>
      </x:c>
      <x:c r="K33" s="26" t="n">
        <x:v>0</x:v>
      </x:c>
      <x:c r="L33" s="26" t="n">
        <x:v>5</x:v>
      </x:c>
      <x:c r="M33" s="26" t="n">
        <x:v>10</x:v>
      </x:c>
      <x:c r="N33" s="7" t="str">
        <x:v>ORDER NOW</x:v>
      </x:c>
      <x:c r="O33" s="7" t="str">
        <x:v>1 on hand; 5 total demand in 90d</x:v>
      </x:c>
    </x:row>
  </x:sheetData>
  <x:conditionalFormatting sqref="D7:D33">
    <x:cfRule type="expression" dxfId="10" priority="1">
      <x:formula>$D7="GO"</x:formula>
    </x:cfRule>
    <x:cfRule type="expression" dxfId="11" priority="2">
      <x:formula>$D7="NO-GO"</x:formula>
    </x:cfRule>
  </x:conditionalFormatting>
  <x:conditionalFormatting sqref="E7:E33">
    <x:cfRule type="expression" dxfId="12" priority="3">
      <x:formula>$E7="Reduce"</x:formula>
    </x:cfRule>
    <x:cfRule type="expression" dxfId="13" priority="4">
      <x:formula>$E7="Remove"</x:formula>
    </x:cfRule>
  </x:conditionalFormatting>
  <x:conditionalFormatting sqref="M7:M33">
    <x:cfRule type="cellIs" dxfId="14" priority="5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04895d8c36436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9" hidden="0" customWidth="1"/>
    <x:col min="4" max="4" width="17" hidden="0" customWidth="1"/>
    <x:col min="5" max="5" width="15" hidden="0" customWidth="1"/>
    <x:col min="6" max="6" width="12" hidden="0" customWidth="1"/>
    <x:col min="7" max="7" width="14" hidden="0" customWidth="1"/>
    <x:col min="8" max="8" width="11" hidden="0" customWidth="1"/>
    <x:col min="9" max="9" width="14" hidden="0" customWidth="1"/>
    <x:col min="10" max="10" width="16" hidden="0" customWidth="1"/>
    <x:col min="11" max="11" width="15" hidden="0" customWidth="1"/>
    <x:col min="12" max="12" width="15" hidden="0" customWidth="1"/>
    <x:col min="13" max="13" width="17" hidden="0" customWidth="1"/>
    <x:col min="14" max="14" width="16" hidden="0" customWidth="1"/>
    <x:col min="15" max="15" width="46" hidden="0" customWidth="1"/>
  </x:cols>
  <x:sheetData>
    <x:row r="2">
      <x:c r="A2" s="17" t="str">
        <x:v>PO 20181890 lens review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2" t="str">
        <x:v>9 October 2026 snapshot. Filter GO / NO-GO or Action to review line decisions.</x:v>
      </x:c>
    </x:row>
    <x:row r="4" ht="22" customHeight="1">
      <x:c r="A4" s="10" t="str">
        <x:v>Lines</x:v>
      </x:c>
      <x:c r="B4" s="10" t="n">
        <x:v>41</x:v>
      </x:c>
      <x:c r="C4" s="10" t="str">
        <x:v>GO</x:v>
      </x:c>
      <x:c r="D4" s="12" t="n">
        <x:v>18</x:v>
      </x:c>
      <x:c r="E4" s="10" t="str">
        <x:v>NO-GO</x:v>
      </x:c>
      <x:c r="F4" s="14" t="n">
        <x:v>23</x:v>
      </x:c>
    </x:row>
    <x:row r="6" ht="28" customHeight="1">
      <x:c r="A6" s="6" t="str">
        <x:v>Line</x:v>
      </x:c>
      <x:c r="B6" s="6" t="str">
        <x:v>SKU</x:v>
      </x:c>
      <x:c r="C6" s="6" t="str">
        <x:v>Lens</x:v>
      </x:c>
      <x:c r="D6" s="6" t="str">
        <x:v>GO / NO-GO</x:v>
      </x:c>
      <x:c r="E6" s="6" t="str">
        <x:v>Action</x:v>
      </x:c>
      <x:c r="F6" s="6" t="str">
        <x:v>Draft qty</x:v>
      </x:c>
      <x:c r="G6" s="6" t="str">
        <x:v>Suggested qty</x:v>
      </x:c>
      <x:c r="H6" s="6" t="str">
        <x:v>On hand</x:v>
      </x:c>
      <x:c r="I6" s="6" t="str">
        <x:v>Rx sold 12m</x:v>
      </x:c>
      <x:c r="J6" s="6" t="str">
        <x:v>Stock sold 12m</x:v>
      </x:c>
      <x:c r="K6" s="6" t="str">
        <x:v>Breakages 12m</x:v>
      </x:c>
      <x:c r="L6" s="6" t="str">
        <x:v>Demand 90d</x:v>
      </x:c>
      <x:c r="M6" s="6" t="str">
        <x:v>Other open qty</x:v>
      </x:c>
      <x:c r="N6" s="6" t="str">
        <x:v>Need</x:v>
      </x:c>
      <x:c r="O6" s="6" t="str">
        <x:v>Reason</x:v>
      </x:c>
    </x:row>
    <x:row r="7" ht="20" customHeight="1">
      <x:c r="A7" s="7" t="n">
        <x:v>1</x:v>
      </x:c>
      <x:c r="B7" s="27" t="str">
        <x:f>"0023407729"</x:f>
        <x:v>0023407729</x:v>
      </x:c>
      <x:c r="C7" s="7" t="str">
        <x:v>70S 425/225</x:v>
      </x:c>
      <x:c r="D7" s="28" t="str">
        <x:v>NO-GO</x:v>
      </x:c>
      <x:c r="E7" s="7" t="str">
        <x:v>Reduce</x:v>
      </x:c>
      <x:c r="F7" s="26" t="n">
        <x:v>13</x:v>
      </x:c>
      <x:c r="G7" s="26" t="n">
        <x:v>8</x:v>
      </x:c>
      <x:c r="H7" s="26" t="n">
        <x:v>7</x:v>
      </x:c>
      <x:c r="I7" s="26" t="n">
        <x:v>54</x:v>
      </x:c>
      <x:c r="J7" s="26" t="n">
        <x:v>0</x:v>
      </x:c>
      <x:c r="K7" s="26" t="n">
        <x:v>1</x:v>
      </x:c>
      <x:c r="L7" s="26" t="n">
        <x:v>16</x:v>
      </x:c>
      <x:c r="M7" s="26" t="n">
        <x:v>2</x:v>
      </x:c>
      <x:c r="N7" s="7" t="str">
        <x:v>NEXT CYCLE</x:v>
      </x:c>
      <x:c r="O7" s="7" t="str">
        <x:v>7 on hand; 16 total demand in 90d</x:v>
      </x:c>
    </x:row>
    <x:row r="8" ht="20" customHeight="1">
      <x:c r="A8" s="7" t="n">
        <x:v>2</x:v>
      </x:c>
      <x:c r="B8" s="27" t="str">
        <x:f>"0024407736"</x:f>
        <x:v>0024407736</x:v>
      </x:c>
      <x:c r="C8" s="7" t="str">
        <x:v>70S 425/225</x:v>
      </x:c>
      <x:c r="D8" s="28" t="str">
        <x:v>NO-GO</x:v>
      </x:c>
      <x:c r="E8" s="7" t="str">
        <x:v>Reduce</x:v>
      </x:c>
      <x:c r="F8" s="26" t="n">
        <x:v>12</x:v>
      </x:c>
      <x:c r="G8" s="26" t="n">
        <x:v>11</x:v>
      </x:c>
      <x:c r="H8" s="26" t="n">
        <x:v>6</x:v>
      </x:c>
      <x:c r="I8" s="26" t="n">
        <x:v>57</x:v>
      </x:c>
      <x:c r="J8" s="26" t="n">
        <x:v>0</x:v>
      </x:c>
      <x:c r="K8" s="26" t="n">
        <x:v>0</x:v>
      </x:c>
      <x:c r="L8" s="26" t="n">
        <x:v>17</x:v>
      </x:c>
      <x:c r="M8" s="26" t="n">
        <x:v>0</x:v>
      </x:c>
      <x:c r="N8" s="7" t="str">
        <x:v>ORDER NOW</x:v>
      </x:c>
      <x:c r="O8" s="7" t="str">
        <x:v>6 on hand; 17 total demand in 90d</x:v>
      </x:c>
    </x:row>
    <x:row r="9" ht="20" customHeight="1">
      <x:c r="A9" s="7" t="n">
        <x:v>3</x:v>
      </x:c>
      <x:c r="B9" s="27" t="str">
        <x:f>"0024407751"</x:f>
        <x:v>0024407751</x:v>
      </x:c>
      <x:c r="C9" s="7" t="str">
        <x:v>70S400/250</x:v>
      </x:c>
      <x:c r="D9" s="28" t="str">
        <x:v>GO</x:v>
      </x:c>
      <x:c r="E9" s="7" t="str">
        <x:v>Keep draft</x:v>
      </x:c>
      <x:c r="F9" s="26" t="n">
        <x:v>13</x:v>
      </x:c>
      <x:c r="G9" s="26" t="n">
        <x:v>13</x:v>
      </x:c>
      <x:c r="H9" s="26" t="n">
        <x:v>5</x:v>
      </x:c>
      <x:c r="I9" s="26" t="n">
        <x:v>129</x:v>
      </x:c>
      <x:c r="J9" s="26" t="n">
        <x:v>18</x:v>
      </x:c>
      <x:c r="K9" s="26" t="n">
        <x:v>1</x:v>
      </x:c>
      <x:c r="L9" s="26" t="n">
        <x:v>39</x:v>
      </x:c>
      <x:c r="M9" s="26" t="n">
        <x:v>0</x:v>
      </x:c>
      <x:c r="N9" s="7" t="str">
        <x:v>ORDER NOW</x:v>
      </x:c>
      <x:c r="O9" s="7" t="str">
        <x:v>5 on hand; 39 total demand in 90d</x:v>
      </x:c>
    </x:row>
    <x:row r="10" ht="20" customHeight="1">
      <x:c r="A10" s="7" t="n">
        <x:v>4</x:v>
      </x:c>
      <x:c r="B10" s="27" t="str">
        <x:f>"0023407745"</x:f>
        <x:v>0023407745</x:v>
      </x:c>
      <x:c r="C10" s="7" t="str">
        <x:v>70S400/250</x:v>
      </x:c>
      <x:c r="D10" s="28" t="str">
        <x:v>GO</x:v>
      </x:c>
      <x:c r="E10" s="7" t="str">
        <x:v>Keep draft</x:v>
      </x:c>
      <x:c r="F10" s="26" t="n">
        <x:v>12</x:v>
      </x:c>
      <x:c r="G10" s="26" t="n">
        <x:v>12</x:v>
      </x:c>
      <x:c r="H10" s="26" t="n">
        <x:v>4</x:v>
      </x:c>
      <x:c r="I10" s="26" t="n">
        <x:v>130</x:v>
      </x:c>
      <x:c r="J10" s="26" t="n">
        <x:v>18</x:v>
      </x:c>
      <x:c r="K10" s="26" t="n">
        <x:v>0</x:v>
      </x:c>
      <x:c r="L10" s="26" t="n">
        <x:v>40</x:v>
      </x:c>
      <x:c r="M10" s="26" t="n">
        <x:v>0</x:v>
      </x:c>
      <x:c r="N10" s="7" t="str">
        <x:v>ORDER NOW</x:v>
      </x:c>
      <x:c r="O10" s="7" t="str">
        <x:v>4 on hand; 40 total demand in 90d</x:v>
      </x:c>
    </x:row>
    <x:row r="11" ht="20" customHeight="1">
      <x:c r="A11" s="7" t="n">
        <x:v>5</x:v>
      </x:c>
      <x:c r="B11" s="27" t="str">
        <x:f>"0024407777"</x:f>
        <x:v>0024407777</x:v>
      </x:c>
      <x:c r="C11" s="7" t="str">
        <x:v>70S 425/275</x:v>
      </x:c>
      <x:c r="D11" s="28" t="str">
        <x:v>NO-GO</x:v>
      </x:c>
      <x:c r="E11" s="7" t="str">
        <x:v>Reduce</x:v>
      </x:c>
      <x:c r="F11" s="26" t="n">
        <x:v>15</x:v>
      </x:c>
      <x:c r="G11" s="26" t="n">
        <x:v>12</x:v>
      </x:c>
      <x:c r="H11" s="26" t="n">
        <x:v>6</x:v>
      </x:c>
      <x:c r="I11" s="26" t="n">
        <x:v>79</x:v>
      </x:c>
      <x:c r="J11" s="26" t="n">
        <x:v>19</x:v>
      </x:c>
      <x:c r="K11" s="26" t="n">
        <x:v>3</x:v>
      </x:c>
      <x:c r="L11" s="26" t="n">
        <x:v>20</x:v>
      </x:c>
      <x:c r="M11" s="26" t="n">
        <x:v>0</x:v>
      </x:c>
      <x:c r="N11" s="7" t="str">
        <x:v>ORDER NOW</x:v>
      </x:c>
      <x:c r="O11" s="7" t="str">
        <x:v>6 on hand; 20 total demand in 90d</x:v>
      </x:c>
    </x:row>
    <x:row r="12" ht="20" customHeight="1">
      <x:c r="A12" s="7" t="n">
        <x:v>6</x:v>
      </x:c>
      <x:c r="B12" s="27" t="str">
        <x:f>"0023407760"</x:f>
        <x:v>0023407760</x:v>
      </x:c>
      <x:c r="C12" s="7" t="str">
        <x:v>70S 425/275</x:v>
      </x:c>
      <x:c r="D12" s="28" t="str">
        <x:v>NO-GO</x:v>
      </x:c>
      <x:c r="E12" s="7" t="str">
        <x:v>Reduce</x:v>
      </x:c>
      <x:c r="F12" s="26" t="n">
        <x:v>15</x:v>
      </x:c>
      <x:c r="G12" s="26" t="n">
        <x:v>13</x:v>
      </x:c>
      <x:c r="H12" s="26" t="n">
        <x:v>5</x:v>
      </x:c>
      <x:c r="I12" s="26" t="n">
        <x:v>79</x:v>
      </x:c>
      <x:c r="J12" s="26" t="n">
        <x:v>20</x:v>
      </x:c>
      <x:c r="K12" s="26" t="n">
        <x:v>3</x:v>
      </x:c>
      <x:c r="L12" s="26" t="n">
        <x:v>21</x:v>
      </x:c>
      <x:c r="M12" s="26" t="n">
        <x:v>0</x:v>
      </x:c>
      <x:c r="N12" s="7" t="str">
        <x:v>ORDER NOW</x:v>
      </x:c>
      <x:c r="O12" s="7" t="str">
        <x:v>5 on hand; 21 total demand in 90d</x:v>
      </x:c>
    </x:row>
    <x:row r="13" ht="20" customHeight="1">
      <x:c r="A13" s="7" t="n">
        <x:v>7</x:v>
      </x:c>
      <x:c r="B13" s="27" t="str">
        <x:f>"0024407793"</x:f>
        <x:v>0024407793</x:v>
      </x:c>
      <x:c r="C13" s="7" t="str">
        <x:v>70S 425/300</x:v>
      </x:c>
      <x:c r="D13" s="28" t="str">
        <x:v>GO</x:v>
      </x:c>
      <x:c r="E13" s="7" t="str">
        <x:v>Keep draft</x:v>
      </x:c>
      <x:c r="F13" s="26" t="n">
        <x:v>16</x:v>
      </x:c>
      <x:c r="G13" s="26" t="n">
        <x:v>16</x:v>
      </x:c>
      <x:c r="H13" s="26" t="n">
        <x:v>-1</x:v>
      </x:c>
      <x:c r="I13" s="26" t="n">
        <x:v>59</x:v>
      </x:c>
      <x:c r="J13" s="26" t="n">
        <x:v>10</x:v>
      </x:c>
      <x:c r="K13" s="26" t="n">
        <x:v>0</x:v>
      </x:c>
      <x:c r="L13" s="26" t="n">
        <x:v>16</x:v>
      </x:c>
      <x:c r="M13" s="26" t="n">
        <x:v>0</x:v>
      </x:c>
      <x:c r="N13" s="7" t="str">
        <x:v>ORDER NOW</x:v>
      </x:c>
      <x:c r="O13" s="7" t="str">
        <x:v>-1 on hand; 16 total demand in 90d</x:v>
      </x:c>
    </x:row>
    <x:row r="14" ht="20" customHeight="1">
      <x:c r="A14" s="7" t="n">
        <x:v>8</x:v>
      </x:c>
      <x:c r="B14" s="27" t="str">
        <x:f>"0023407786"</x:f>
        <x:v>0023407786</x:v>
      </x:c>
      <x:c r="C14" s="7" t="str">
        <x:v>70S 425/300</x:v>
      </x:c>
      <x:c r="D14" s="28" t="str">
        <x:v>GO</x:v>
      </x:c>
      <x:c r="E14" s="7" t="str">
        <x:v>Keep draft</x:v>
      </x:c>
      <x:c r="F14" s="26" t="n">
        <x:v>16</x:v>
      </x:c>
      <x:c r="G14" s="26" t="n">
        <x:v>16</x:v>
      </x:c>
      <x:c r="H14" s="26" t="n">
        <x:v>-1</x:v>
      </x:c>
      <x:c r="I14" s="26" t="n">
        <x:v>58</x:v>
      </x:c>
      <x:c r="J14" s="26" t="n">
        <x:v>10</x:v>
      </x:c>
      <x:c r="K14" s="26" t="n">
        <x:v>1</x:v>
      </x:c>
      <x:c r="L14" s="26" t="n">
        <x:v>17</x:v>
      </x:c>
      <x:c r="M14" s="26" t="n">
        <x:v>0</x:v>
      </x:c>
      <x:c r="N14" s="7" t="str">
        <x:v>ORDER NOW</x:v>
      </x:c>
      <x:c r="O14" s="7" t="str">
        <x:v>-1 on hand; 17 total demand in 90d</x:v>
      </x:c>
    </x:row>
    <x:row r="15" ht="20" customHeight="1">
      <x:c r="A15" s="7" t="n">
        <x:v>9</x:v>
      </x:c>
      <x:c r="B15" s="27" t="str">
        <x:f>"0024407819"</x:f>
        <x:v>0024407819</x:v>
      </x:c>
      <x:c r="C15" s="7" t="str">
        <x:v>70S 425/325</x:v>
      </x:c>
      <x:c r="D15" s="28" t="str">
        <x:v>NO-GO</x:v>
      </x:c>
      <x:c r="E15" s="7" t="str">
        <x:v>Reduce</x:v>
      </x:c>
      <x:c r="F15" s="26" t="n">
        <x:v>4</x:v>
      </x:c>
      <x:c r="G15" s="26" t="n">
        <x:v>1</x:v>
      </x:c>
      <x:c r="H15" s="26" t="n">
        <x:v>2</x:v>
      </x:c>
      <x:c r="I15" s="26" t="n">
        <x:v>7</x:v>
      </x:c>
      <x:c r="J15" s="26" t="n">
        <x:v>0</x:v>
      </x:c>
      <x:c r="K15" s="26" t="n">
        <x:v>0</x:v>
      </x:c>
      <x:c r="L15" s="26" t="n">
        <x:v>1</x:v>
      </x:c>
      <x:c r="M15" s="26" t="n">
        <x:v>0</x:v>
      </x:c>
      <x:c r="N15" s="7" t="str">
        <x:v>NEXT CYCLE</x:v>
      </x:c>
      <x:c r="O15" s="7" t="str">
        <x:v>2 on hand; 1 total demand in 90d</x:v>
      </x:c>
    </x:row>
    <x:row r="16" ht="20" customHeight="1">
      <x:c r="A16" s="7" t="n">
        <x:v>10</x:v>
      </x:c>
      <x:c r="B16" s="27" t="str">
        <x:f>"0023407802"</x:f>
        <x:v>0023407802</x:v>
      </x:c>
      <x:c r="C16" s="7" t="str">
        <x:v>70S 425/325</x:v>
      </x:c>
      <x:c r="D16" s="28" t="str">
        <x:v>NO-GO</x:v>
      </x:c>
      <x:c r="E16" s="7" t="str">
        <x:v>Reduce</x:v>
      </x:c>
      <x:c r="F16" s="26" t="n">
        <x:v>4</x:v>
      </x:c>
      <x:c r="G16" s="26" t="n">
        <x:v>1</x:v>
      </x:c>
      <x:c r="H16" s="26" t="n">
        <x:v>2</x:v>
      </x:c>
      <x:c r="I16" s="26" t="n">
        <x:v>7</x:v>
      </x:c>
      <x:c r="J16" s="26" t="n">
        <x:v>0</x:v>
      </x:c>
      <x:c r="K16" s="26" t="n">
        <x:v>0</x:v>
      </x:c>
      <x:c r="L16" s="26" t="n">
        <x:v>1</x:v>
      </x:c>
      <x:c r="M16" s="26" t="n">
        <x:v>0</x:v>
      </x:c>
      <x:c r="N16" s="7" t="str">
        <x:v>NEXT CYCLE</x:v>
      </x:c>
      <x:c r="O16" s="7" t="str">
        <x:v>2 on hand; 1 total demand in 90d</x:v>
      </x:c>
    </x:row>
    <x:row r="17" ht="20" customHeight="1">
      <x:c r="A17" s="7" t="n">
        <x:v>11</x:v>
      </x:c>
      <x:c r="B17" s="27" t="str">
        <x:f>"0024407835"</x:f>
        <x:v>0024407835</x:v>
      </x:c>
      <x:c r="C17" s="7" t="str">
        <x:v>70S 425/350</x:v>
      </x:c>
      <x:c r="D17" s="28" t="str">
        <x:v>GO</x:v>
      </x:c>
      <x:c r="E17" s="7" t="str">
        <x:v>Keep draft</x:v>
      </x:c>
      <x:c r="F17" s="26" t="n">
        <x:v>4</x:v>
      </x:c>
      <x:c r="G17" s="26" t="n">
        <x:v>4</x:v>
      </x:c>
      <x:c r="H17" s="26" t="n">
        <x:v>1</x:v>
      </x:c>
      <x:c r="I17" s="26" t="n">
        <x:v>5</x:v>
      </x:c>
      <x:c r="J17" s="26" t="n">
        <x:v>5</x:v>
      </x:c>
      <x:c r="K17" s="26" t="n">
        <x:v>0</x:v>
      </x:c>
      <x:c r="L17" s="26" t="n">
        <x:v>4</x:v>
      </x:c>
      <x:c r="M17" s="26" t="n">
        <x:v>0</x:v>
      </x:c>
      <x:c r="N17" s="7" t="str">
        <x:v>ORDER NOW</x:v>
      </x:c>
      <x:c r="O17" s="7" t="str">
        <x:v>1 on hand; 4 total demand in 90d</x:v>
      </x:c>
    </x:row>
    <x:row r="18" ht="20" customHeight="1">
      <x:c r="A18" s="7" t="n">
        <x:v>12</x:v>
      </x:c>
      <x:c r="B18" s="27" t="str">
        <x:f>"0023407828"</x:f>
        <x:v>0023407828</x:v>
      </x:c>
      <x:c r="C18" s="7" t="str">
        <x:v>70S 425/350</x:v>
      </x:c>
      <x:c r="D18" s="28" t="str">
        <x:v>GO</x:v>
      </x:c>
      <x:c r="E18" s="7" t="str">
        <x:v>Keep draft</x:v>
      </x:c>
      <x:c r="F18" s="26" t="n">
        <x:v>4</x:v>
      </x:c>
      <x:c r="G18" s="26" t="n">
        <x:v>4</x:v>
      </x:c>
      <x:c r="H18" s="26" t="n">
        <x:v>1</x:v>
      </x:c>
      <x:c r="I18" s="26" t="n">
        <x:v>5</x:v>
      </x:c>
      <x:c r="J18" s="26" t="n">
        <x:v>5</x:v>
      </x:c>
      <x:c r="K18" s="26" t="n">
        <x:v>0</x:v>
      </x:c>
      <x:c r="L18" s="26" t="n">
        <x:v>5</x:v>
      </x:c>
      <x:c r="M18" s="26" t="n">
        <x:v>0</x:v>
      </x:c>
      <x:c r="N18" s="7" t="str">
        <x:v>ORDER NOW</x:v>
      </x:c>
      <x:c r="O18" s="7" t="str">
        <x:v>1 on hand; 5 total demand in 90d</x:v>
      </x:c>
    </x:row>
    <x:row r="19" ht="20" customHeight="1">
      <x:c r="A19" s="7" t="n">
        <x:v>13</x:v>
      </x:c>
      <x:c r="B19" s="27" t="str">
        <x:f>"0024408056"</x:f>
        <x:v>0024408056</x:v>
      </x:c>
      <x:c r="C19" s="7" t="str">
        <x:v>70S 625/250</x:v>
      </x:c>
      <x:c r="D19" s="28" t="str">
        <x:v>NO-GO</x:v>
      </x:c>
      <x:c r="E19" s="7" t="str">
        <x:v>Reduce</x:v>
      </x:c>
      <x:c r="F19" s="26" t="n">
        <x:v>12</x:v>
      </x:c>
      <x:c r="G19" s="26" t="n">
        <x:v>6</x:v>
      </x:c>
      <x:c r="H19" s="26" t="n">
        <x:v>6</x:v>
      </x:c>
      <x:c r="I19" s="26" t="n">
        <x:v>56</x:v>
      </x:c>
      <x:c r="J19" s="26" t="n">
        <x:v>8</x:v>
      </x:c>
      <x:c r="K19" s="26" t="n">
        <x:v>0</x:v>
      </x:c>
      <x:c r="L19" s="26" t="n">
        <x:v>12</x:v>
      </x:c>
      <x:c r="M19" s="26" t="n">
        <x:v>0</x:v>
      </x:c>
      <x:c r="N19" s="7" t="str">
        <x:v>NEXT CYCLE</x:v>
      </x:c>
      <x:c r="O19" s="7" t="str">
        <x:v>6 on hand; 12 total demand in 90d</x:v>
      </x:c>
    </x:row>
    <x:row r="20" ht="20" customHeight="1">
      <x:c r="A20" s="7" t="n">
        <x:v>14</x:v>
      </x:c>
      <x:c r="B20" s="27" t="str">
        <x:f>"0023408040"</x:f>
        <x:v>0023408040</x:v>
      </x:c>
      <x:c r="C20" s="7" t="str">
        <x:v>70S 625/250</x:v>
      </x:c>
      <x:c r="D20" s="28" t="str">
        <x:v>NO-GO</x:v>
      </x:c>
      <x:c r="E20" s="7" t="str">
        <x:v>Reduce</x:v>
      </x:c>
      <x:c r="F20" s="26" t="n">
        <x:v>12</x:v>
      </x:c>
      <x:c r="G20" s="26" t="n">
        <x:v>9</x:v>
      </x:c>
      <x:c r="H20" s="26" t="n">
        <x:v>4</x:v>
      </x:c>
      <x:c r="I20" s="26" t="n">
        <x:v>61</x:v>
      </x:c>
      <x:c r="J20" s="26" t="n">
        <x:v>8</x:v>
      </x:c>
      <x:c r="K20" s="26" t="n">
        <x:v>0</x:v>
      </x:c>
      <x:c r="L20" s="26" t="n">
        <x:v>15</x:v>
      </x:c>
      <x:c r="M20" s="26" t="n">
        <x:v>0</x:v>
      </x:c>
      <x:c r="N20" s="7" t="str">
        <x:v>ORDER NOW</x:v>
      </x:c>
      <x:c r="O20" s="7" t="str">
        <x:v>4 on hand; 15 total demand in 90d</x:v>
      </x:c>
    </x:row>
    <x:row r="21" ht="20" customHeight="1">
      <x:c r="A21" s="7" t="n">
        <x:v>15</x:v>
      </x:c>
      <x:c r="B21" s="27" t="str">
        <x:f>"0024408072"</x:f>
        <x:v>0024408072</x:v>
      </x:c>
      <x:c r="C21" s="7" t="str">
        <x:v>70S 625/275</x:v>
      </x:c>
      <x:c r="D21" s="28" t="str">
        <x:v>NO-GO</x:v>
      </x:c>
      <x:c r="E21" s="7" t="str">
        <x:v>Reduce</x:v>
      </x:c>
      <x:c r="F21" s="26" t="n">
        <x:v>12</x:v>
      </x:c>
      <x:c r="G21" s="26" t="n">
        <x:v>3</x:v>
      </x:c>
      <x:c r="H21" s="26" t="n">
        <x:v>6</x:v>
      </x:c>
      <x:c r="I21" s="26" t="n">
        <x:v>33</x:v>
      </x:c>
      <x:c r="J21" s="26" t="n">
        <x:v>13</x:v>
      </x:c>
      <x:c r="K21" s="26" t="n">
        <x:v>0</x:v>
      </x:c>
      <x:c r="L21" s="26" t="n">
        <x:v>8</x:v>
      </x:c>
      <x:c r="M21" s="26" t="n">
        <x:v>0</x:v>
      </x:c>
      <x:c r="N21" s="7" t="str">
        <x:v>NEXT CYCLE</x:v>
      </x:c>
      <x:c r="O21" s="7" t="str">
        <x:v>6 on hand; 8 total demand in 90d</x:v>
      </x:c>
    </x:row>
    <x:row r="22" ht="20" customHeight="1">
      <x:c r="A22" s="7" t="n">
        <x:v>16</x:v>
      </x:c>
      <x:c r="B22" s="27" t="str">
        <x:f>"0023408065"</x:f>
        <x:v>0023408065</x:v>
      </x:c>
      <x:c r="C22" s="7" t="str">
        <x:v>70S 625/275</x:v>
      </x:c>
      <x:c r="D22" s="28" t="str">
        <x:v>NO-GO</x:v>
      </x:c>
      <x:c r="E22" s="7" t="str">
        <x:v>Reduce</x:v>
      </x:c>
      <x:c r="F22" s="26" t="n">
        <x:v>12</x:v>
      </x:c>
      <x:c r="G22" s="26" t="n">
        <x:v>3</x:v>
      </x:c>
      <x:c r="H22" s="26" t="n">
        <x:v>6</x:v>
      </x:c>
      <x:c r="I22" s="26" t="n">
        <x:v>33</x:v>
      </x:c>
      <x:c r="J22" s="26" t="n">
        <x:v>13</x:v>
      </x:c>
      <x:c r="K22" s="26" t="n">
        <x:v>0</x:v>
      </x:c>
      <x:c r="L22" s="26" t="n">
        <x:v>8</x:v>
      </x:c>
      <x:c r="M22" s="26" t="n">
        <x:v>0</x:v>
      </x:c>
      <x:c r="N22" s="7" t="str">
        <x:v>NEXT CYCLE</x:v>
      </x:c>
      <x:c r="O22" s="7" t="str">
        <x:v>6 on hand; 8 total demand in 90d</x:v>
      </x:c>
    </x:row>
    <x:row r="23" ht="20" customHeight="1">
      <x:c r="A23" s="7" t="n">
        <x:v>17</x:v>
      </x:c>
      <x:c r="B23" s="27" t="str">
        <x:f>"0027000405"</x:f>
        <x:v>0027000405</x:v>
      </x:c>
      <x:c r="C23" s="7" t="str">
        <x:v>75S 200/250</x:v>
      </x:c>
      <x:c r="D23" s="28" t="str">
        <x:v>NO-GO</x:v>
      </x:c>
      <x:c r="E23" s="7" t="str">
        <x:v>Remove</x:v>
      </x:c>
      <x:c r="F23" s="26" t="n">
        <x:v>1</x:v>
      </x:c>
      <x:c r="G23" s="26" t="n">
        <x:v>0</x:v>
      </x:c>
      <x:c r="H23" s="26" t="n">
        <x:v>3</x:v>
      </x:c>
      <x:c r="I23" s="26" t="n">
        <x:v>0</x:v>
      </x:c>
      <x:c r="J23" s="26" t="n">
        <x:v>0</x:v>
      </x:c>
      <x:c r="K23" s="26" t="n">
        <x:v>0</x:v>
      </x:c>
      <x:c r="L23" s="26" t="n">
        <x:v>0</x:v>
      </x:c>
      <x:c r="M23" s="26" t="n">
        <x:v>0</x:v>
      </x:c>
      <x:c r="N23" s="7" t="str">
        <x:v>COVERED</x:v>
      </x:c>
      <x:c r="O23" s="7" t="str">
        <x:v>3 on hand covers 0-lens target</x:v>
      </x:c>
    </x:row>
    <x:row r="24" ht="20" customHeight="1">
      <x:c r="A24" s="7" t="n">
        <x:v>18</x:v>
      </x:c>
      <x:c r="B24" s="27" t="str">
        <x:f>"0028000065"</x:f>
        <x:v>0028000065</x:v>
      </x:c>
      <x:c r="C24" s="7" t="str">
        <x:v>75S 400/150</x:v>
      </x:c>
      <x:c r="D24" s="28" t="str">
        <x:v>NO-GO</x:v>
      </x:c>
      <x:c r="E24" s="7" t="str">
        <x:v>Remove</x:v>
      </x:c>
      <x:c r="F24" s="26" t="n">
        <x:v>2</x:v>
      </x:c>
      <x:c r="G24" s="26" t="n">
        <x:v>0</x:v>
      </x:c>
      <x:c r="H24" s="26" t="n">
        <x:v>2</x:v>
      </x:c>
      <x:c r="I24" s="26" t="n">
        <x:v>1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7" t="str">
        <x:v>COVERED</x:v>
      </x:c>
      <x:c r="O24" s="7" t="str">
        <x:v>2 on hand covers 2-lens target</x:v>
      </x:c>
    </x:row>
    <x:row r="25" ht="20" customHeight="1">
      <x:c r="A25" s="7" t="n">
        <x:v>19</x:v>
      </x:c>
      <x:c r="B25" s="27" t="str">
        <x:f>"0027000066"</x:f>
        <x:v>0027000066</x:v>
      </x:c>
      <x:c r="C25" s="7" t="str">
        <x:v>75S 400/150</x:v>
      </x:c>
      <x:c r="D25" s="28" t="str">
        <x:v>NO-GO</x:v>
      </x:c>
      <x:c r="E25" s="7" t="str">
        <x:v>Remove</x:v>
      </x:c>
      <x:c r="F25" s="26" t="n">
        <x:v>1</x:v>
      </x:c>
      <x:c r="G25" s="26" t="n">
        <x:v>0</x:v>
      </x:c>
      <x:c r="H25" s="26" t="n">
        <x:v>2</x:v>
      </x:c>
      <x:c r="I25" s="26" t="n">
        <x:v>1</x:v>
      </x:c>
      <x:c r="J25" s="26" t="n">
        <x:v>0</x:v>
      </x:c>
      <x:c r="K25" s="26" t="n">
        <x:v>0</x:v>
      </x:c>
      <x:c r="L25" s="26" t="n">
        <x:v>0</x:v>
      </x:c>
      <x:c r="M25" s="26" t="n">
        <x:v>0</x:v>
      </x:c>
      <x:c r="N25" s="7" t="str">
        <x:v>COVERED</x:v>
      </x:c>
      <x:c r="O25" s="7" t="str">
        <x:v>2 on hand covers 2-lens target</x:v>
      </x:c>
    </x:row>
    <x:row r="26" ht="20" customHeight="1">
      <x:c r="A26" s="7" t="n">
        <x:v>20</x:v>
      </x:c>
      <x:c r="B26" s="27" t="str">
        <x:f>"0028000115"</x:f>
        <x:v>0028000115</x:v>
      </x:c>
      <x:c r="C26" s="7" t="str">
        <x:v>75S 400/275</x:v>
      </x:c>
      <x:c r="D26" s="28" t="str">
        <x:v>GO</x:v>
      </x:c>
      <x:c r="E26" s="7" t="str">
        <x:v>Keep draft</x:v>
      </x:c>
      <x:c r="F26" s="26" t="n">
        <x:v>2</x:v>
      </x:c>
      <x:c r="G26" s="26" t="n">
        <x:v>2</x:v>
      </x:c>
      <x:c r="H26" s="26" t="n">
        <x:v>1</x:v>
      </x:c>
      <x:c r="I26" s="26" t="n">
        <x:v>8</x:v>
      </x:c>
      <x:c r="J26" s="26" t="n">
        <x:v>0</x:v>
      </x:c>
      <x:c r="K26" s="26" t="n">
        <x:v>1</x:v>
      </x:c>
      <x:c r="L26" s="26" t="n">
        <x:v>2</x:v>
      </x:c>
      <x:c r="M26" s="26" t="n">
        <x:v>0</x:v>
      </x:c>
      <x:c r="N26" s="7" t="str">
        <x:v>NEXT CYCLE</x:v>
      </x:c>
      <x:c r="O26" s="7" t="str">
        <x:v>1 on hand; 2 total demand in 90d</x:v>
      </x:c>
    </x:row>
    <x:row r="27" ht="20" customHeight="1">
      <x:c r="A27" s="7" t="n">
        <x:v>21</x:v>
      </x:c>
      <x:c r="B27" s="27" t="str">
        <x:f>"0027000116"</x:f>
        <x:v>0027000116</x:v>
      </x:c>
      <x:c r="C27" s="7" t="str">
        <x:v>75S 400/275</x:v>
      </x:c>
      <x:c r="D27" s="28" t="str">
        <x:v>GO</x:v>
      </x:c>
      <x:c r="E27" s="7" t="str">
        <x:v>Keep draft</x:v>
      </x:c>
      <x:c r="F27" s="26" t="n">
        <x:v>2</x:v>
      </x:c>
      <x:c r="G27" s="26" t="n">
        <x:v>2</x:v>
      </x:c>
      <x:c r="H27" s="26" t="n">
        <x:v>1</x:v>
      </x:c>
      <x:c r="I27" s="26" t="n">
        <x:v>8</x:v>
      </x:c>
      <x:c r="J27" s="26" t="n">
        <x:v>0</x:v>
      </x:c>
      <x:c r="K27" s="26" t="n">
        <x:v>1</x:v>
      </x:c>
      <x:c r="L27" s="26" t="n">
        <x:v>2</x:v>
      </x:c>
      <x:c r="M27" s="26" t="n">
        <x:v>0</x:v>
      </x:c>
      <x:c r="N27" s="7" t="str">
        <x:v>NEXT CYCLE</x:v>
      </x:c>
      <x:c r="O27" s="7" t="str">
        <x:v>1 on hand; 2 total demand in 90d</x:v>
      </x:c>
    </x:row>
    <x:row r="28" ht="20" customHeight="1">
      <x:c r="A28" s="7" t="n">
        <x:v>22</x:v>
      </x:c>
      <x:c r="B28" s="27" t="str">
        <x:f>"0028000149"</x:f>
        <x:v>0028000149</x:v>
      </x:c>
      <x:c r="C28" s="7" t="str">
        <x:v>75S 625/100</x:v>
      </x:c>
      <x:c r="D28" s="28" t="str">
        <x:v>GO</x:v>
      </x:c>
      <x:c r="E28" s="7" t="str">
        <x:v>Keep draft</x:v>
      </x:c>
      <x:c r="F28" s="26" t="n">
        <x:v>2</x:v>
      </x:c>
      <x:c r="G28" s="26" t="n">
        <x:v>2</x:v>
      </x:c>
      <x:c r="H28" s="26" t="n">
        <x:v>0</x:v>
      </x:c>
      <x:c r="I28" s="26" t="n">
        <x:v>1</x:v>
      </x:c>
      <x:c r="J28" s="26" t="n">
        <x:v>0</x:v>
      </x:c>
      <x:c r="K28" s="26" t="n">
        <x:v>0</x:v>
      </x:c>
      <x:c r="L28" s="26" t="n">
        <x:v>0</x:v>
      </x:c>
      <x:c r="M28" s="26" t="n">
        <x:v>0</x:v>
      </x:c>
      <x:c r="N28" s="7" t="str">
        <x:v>NEXT CYCLE</x:v>
      </x:c>
      <x:c r="O28" s="7" t="str">
        <x:v>0 on hand; 0 total demand in 90d</x:v>
      </x:c>
    </x:row>
    <x:row r="29" ht="20" customHeight="1">
      <x:c r="A29" s="7" t="n">
        <x:v>23</x:v>
      </x:c>
      <x:c r="B29" s="27" t="str">
        <x:f>"0027000140"</x:f>
        <x:v>0027000140</x:v>
      </x:c>
      <x:c r="C29" s="7" t="str">
        <x:v>75S 625/100</x:v>
      </x:c>
      <x:c r="D29" s="28" t="str">
        <x:v>GO</x:v>
      </x:c>
      <x:c r="E29" s="7" t="str">
        <x:v>Keep draft</x:v>
      </x:c>
      <x:c r="F29" s="26" t="n">
        <x:v>2</x:v>
      </x:c>
      <x:c r="G29" s="26" t="n">
        <x:v>2</x:v>
      </x:c>
      <x:c r="H29" s="26" t="n">
        <x:v>0</x:v>
      </x:c>
      <x:c r="I29" s="26" t="n">
        <x:v>1</x:v>
      </x:c>
      <x:c r="J29" s="26" t="n">
        <x:v>0</x:v>
      </x:c>
      <x:c r="K29" s="26" t="n">
        <x:v>0</x:v>
      </x:c>
      <x:c r="L29" s="26" t="n">
        <x:v>0</x:v>
      </x:c>
      <x:c r="M29" s="26" t="n">
        <x:v>0</x:v>
      </x:c>
      <x:c r="N29" s="7" t="str">
        <x:v>NEXT CYCLE</x:v>
      </x:c>
      <x:c r="O29" s="7" t="str">
        <x:v>0 on hand; 0 total demand in 90d</x:v>
      </x:c>
    </x:row>
    <x:row r="30" ht="20" customHeight="1">
      <x:c r="A30" s="7" t="n">
        <x:v>24</x:v>
      </x:c>
      <x:c r="B30" s="27" t="str">
        <x:f>"0028000156"</x:f>
        <x:v>0028000156</x:v>
      </x:c>
      <x:c r="C30" s="7" t="str">
        <x:v>75S 625/125</x:v>
      </x:c>
      <x:c r="D30" s="28" t="str">
        <x:v>NO-GO</x:v>
      </x:c>
      <x:c r="E30" s="7" t="str">
        <x:v>Remove</x:v>
      </x:c>
      <x:c r="F30" s="26" t="n">
        <x:v>2</x:v>
      </x:c>
      <x:c r="G30" s="26" t="n">
        <x:v>0</x:v>
      </x:c>
      <x:c r="H30" s="26" t="n">
        <x:v>0</x:v>
      </x:c>
      <x:c r="I30" s="26" t="n">
        <x:v>0</x:v>
      </x:c>
      <x:c r="J30" s="26" t="n">
        <x:v>0</x:v>
      </x:c>
      <x:c r="K30" s="26" t="n">
        <x:v>0</x:v>
      </x:c>
      <x:c r="L30" s="26" t="n">
        <x:v>0</x:v>
      </x:c>
      <x:c r="M30" s="26" t="n">
        <x:v>0</x:v>
      </x:c>
      <x:c r="N30" s="7" t="str">
        <x:v>DORMANT</x:v>
      </x:c>
      <x:c r="O30" s="7" t="str">
        <x:v>No stock, Rx or breakage demand in 12 months</x:v>
      </x:c>
    </x:row>
    <x:row r="31" ht="20" customHeight="1">
      <x:c r="A31" s="7" t="n">
        <x:v>25</x:v>
      </x:c>
      <x:c r="B31" s="27" t="str">
        <x:f>"0027000157"</x:f>
        <x:v>0027000157</x:v>
      </x:c>
      <x:c r="C31" s="7" t="str">
        <x:v>75S 625/125</x:v>
      </x:c>
      <x:c r="D31" s="28" t="str">
        <x:v>NO-GO</x:v>
      </x:c>
      <x:c r="E31" s="7" t="str">
        <x:v>Remove</x:v>
      </x:c>
      <x:c r="F31" s="26" t="n">
        <x:v>2</x:v>
      </x:c>
      <x:c r="G31" s="26" t="n">
        <x:v>0</x:v>
      </x:c>
      <x:c r="H31" s="26" t="n">
        <x:v>0</x:v>
      </x:c>
      <x:c r="I31" s="26" t="n">
        <x:v>0</x:v>
      </x:c>
      <x:c r="J31" s="26" t="n">
        <x:v>0</x:v>
      </x:c>
      <x:c r="K31" s="26" t="n">
        <x:v>0</x:v>
      </x:c>
      <x:c r="L31" s="26" t="n">
        <x:v>0</x:v>
      </x:c>
      <x:c r="M31" s="26" t="n">
        <x:v>0</x:v>
      </x:c>
      <x:c r="N31" s="7" t="str">
        <x:v>DORMANT</x:v>
      </x:c>
      <x:c r="O31" s="7" t="str">
        <x:v>No stock, Rx or breakage demand in 12 months</x:v>
      </x:c>
    </x:row>
    <x:row r="32" ht="20" customHeight="1">
      <x:c r="A32" s="7" t="n">
        <x:v>26</x:v>
      </x:c>
      <x:c r="B32" s="27" t="str">
        <x:f>"0028000206"</x:f>
        <x:v>0028000206</x:v>
      </x:c>
      <x:c r="C32" s="7" t="str">
        <x:v>75S 625/250</x:v>
      </x:c>
      <x:c r="D32" s="28" t="str">
        <x:v>NO-GO</x:v>
      </x:c>
      <x:c r="E32" s="7" t="str">
        <x:v>Remove</x:v>
      </x:c>
      <x:c r="F32" s="26" t="n">
        <x:v>2</x:v>
      </x:c>
      <x:c r="G32" s="26" t="n">
        <x:v>0</x:v>
      </x:c>
      <x:c r="H32" s="26" t="n">
        <x:v>2</x:v>
      </x:c>
      <x:c r="I32" s="26" t="n">
        <x:v>5</x:v>
      </x:c>
      <x:c r="J32" s="26" t="n">
        <x:v>0</x:v>
      </x:c>
      <x:c r="K32" s="26" t="n">
        <x:v>0</x:v>
      </x:c>
      <x:c r="L32" s="26" t="n">
        <x:v>1</x:v>
      </x:c>
      <x:c r="M32" s="26" t="n">
        <x:v>0</x:v>
      </x:c>
      <x:c r="N32" s="7" t="str">
        <x:v>COVERED</x:v>
      </x:c>
      <x:c r="O32" s="7" t="str">
        <x:v>2 on hand covers 2-lens target</x:v>
      </x:c>
    </x:row>
    <x:row r="33" ht="20" customHeight="1">
      <x:c r="A33" s="7" t="n">
        <x:v>27</x:v>
      </x:c>
      <x:c r="B33" s="27" t="str">
        <x:f>"0027000207"</x:f>
        <x:v>0027000207</x:v>
      </x:c>
      <x:c r="C33" s="7" t="str">
        <x:v>75S 625/250</x:v>
      </x:c>
      <x:c r="D33" s="28" t="str">
        <x:v>GO</x:v>
      </x:c>
      <x:c r="E33" s="7" t="str">
        <x:v>Keep draft</x:v>
      </x:c>
      <x:c r="F33" s="26" t="n">
        <x:v>1</x:v>
      </x:c>
      <x:c r="G33" s="26" t="n">
        <x:v>1</x:v>
      </x:c>
      <x:c r="H33" s="26" t="n">
        <x:v>1</x:v>
      </x:c>
      <x:c r="I33" s="26" t="n">
        <x:v>6</x:v>
      </x:c>
      <x:c r="J33" s="26" t="n">
        <x:v>0</x:v>
      </x:c>
      <x:c r="K33" s="26" t="n">
        <x:v>0</x:v>
      </x:c>
      <x:c r="L33" s="26" t="n">
        <x:v>2</x:v>
      </x:c>
      <x:c r="M33" s="26" t="n">
        <x:v>0</x:v>
      </x:c>
      <x:c r="N33" s="7" t="str">
        <x:v>NEXT CYCLE</x:v>
      </x:c>
      <x:c r="O33" s="7" t="str">
        <x:v>1 on hand; 2 total demand in 90d</x:v>
      </x:c>
    </x:row>
    <x:row r="34" ht="20" customHeight="1">
      <x:c r="A34" s="7" t="n">
        <x:v>28</x:v>
      </x:c>
      <x:c r="B34" s="27" t="str">
        <x:f>"0028000214"</x:f>
        <x:v>0028000214</x:v>
      </x:c>
      <x:c r="C34" s="7" t="str">
        <x:v>75S 625/275</x:v>
      </x:c>
      <x:c r="D34" s="28" t="str">
        <x:v>GO</x:v>
      </x:c>
      <x:c r="E34" s="7" t="str">
        <x:v>Keep draft</x:v>
      </x:c>
      <x:c r="F34" s="26" t="n">
        <x:v>2</x:v>
      </x:c>
      <x:c r="G34" s="26" t="n">
        <x:v>2</x:v>
      </x:c>
      <x:c r="H34" s="26" t="n">
        <x:v>1</x:v>
      </x:c>
      <x:c r="I34" s="26" t="n">
        <x:v>2</x:v>
      </x:c>
      <x:c r="J34" s="26" t="n">
        <x:v>0</x:v>
      </x:c>
      <x:c r="K34" s="26" t="n">
        <x:v>0</x:v>
      </x:c>
      <x:c r="L34" s="26" t="n">
        <x:v>1</x:v>
      </x:c>
      <x:c r="M34" s="26" t="n">
        <x:v>0</x:v>
      </x:c>
      <x:c r="N34" s="7" t="str">
        <x:v>NEXT CYCLE</x:v>
      </x:c>
      <x:c r="O34" s="7" t="str">
        <x:v>1 on hand; 1 total demand in 90d</x:v>
      </x:c>
    </x:row>
    <x:row r="35" ht="20" customHeight="1">
      <x:c r="A35" s="7" t="n">
        <x:v>29</x:v>
      </x:c>
      <x:c r="B35" s="27" t="str">
        <x:f>"0027000215"</x:f>
        <x:v>0027000215</x:v>
      </x:c>
      <x:c r="C35" s="7" t="str">
        <x:v>75S 625/275</x:v>
      </x:c>
      <x:c r="D35" s="28" t="str">
        <x:v>GO</x:v>
      </x:c>
      <x:c r="E35" s="7" t="str">
        <x:v>Keep draft</x:v>
      </x:c>
      <x:c r="F35" s="26" t="n">
        <x:v>2</x:v>
      </x:c>
      <x:c r="G35" s="26" t="n">
        <x:v>2</x:v>
      </x:c>
      <x:c r="H35" s="26" t="n">
        <x:v>1</x:v>
      </x:c>
      <x:c r="I35" s="26" t="n">
        <x:v>2</x:v>
      </x:c>
      <x:c r="J35" s="26" t="n">
        <x:v>0</x:v>
      </x:c>
      <x:c r="K35" s="26" t="n">
        <x:v>0</x:v>
      </x:c>
      <x:c r="L35" s="26" t="n">
        <x:v>1</x:v>
      </x:c>
      <x:c r="M35" s="26" t="n">
        <x:v>0</x:v>
      </x:c>
      <x:c r="N35" s="7" t="str">
        <x:v>NEXT CYCLE</x:v>
      </x:c>
      <x:c r="O35" s="7" t="str">
        <x:v>1 on hand; 1 total demand in 90d</x:v>
      </x:c>
    </x:row>
    <x:row r="36" ht="20" customHeight="1">
      <x:c r="A36" s="7" t="n">
        <x:v>30</x:v>
      </x:c>
      <x:c r="B36" s="27" t="str">
        <x:f>"0023412984"</x:f>
        <x:v>0023412984</x:v>
      </x:c>
      <x:c r="C36" s="7" t="str">
        <x:v>70S 425/225</x:v>
      </x:c>
      <x:c r="D36" s="28" t="str">
        <x:v>GO</x:v>
      </x:c>
      <x:c r="E36" s="7" t="str">
        <x:v>Keep draft</x:v>
      </x:c>
      <x:c r="F36" s="26" t="n">
        <x:v>2</x:v>
      </x:c>
      <x:c r="G36" s="26" t="n">
        <x:v>2</x:v>
      </x:c>
      <x:c r="H36" s="26" t="n">
        <x:v>2</x:v>
      </x:c>
      <x:c r="I36" s="26" t="n">
        <x:v>2</x:v>
      </x:c>
      <x:c r="J36" s="26" t="n">
        <x:v>0</x:v>
      </x:c>
      <x:c r="K36" s="26" t="n">
        <x:v>2</x:v>
      </x:c>
      <x:c r="L36" s="26" t="n">
        <x:v>2</x:v>
      </x:c>
      <x:c r="M36" s="26" t="n">
        <x:v>0</x:v>
      </x:c>
      <x:c r="N36" s="7" t="str">
        <x:v>NEXT CYCLE</x:v>
      </x:c>
      <x:c r="O36" s="7" t="str">
        <x:v>2 on hand; 2 total demand in 90d</x:v>
      </x:c>
    </x:row>
    <x:row r="37" ht="20" customHeight="1">
      <x:c r="A37" s="7" t="n">
        <x:v>31</x:v>
      </x:c>
      <x:c r="B37" s="27" t="str">
        <x:f>"0023413032"</x:f>
        <x:v>0023413032</x:v>
      </x:c>
      <x:c r="C37" s="7" t="str">
        <x:v>70S 425/350</x:v>
      </x:c>
      <x:c r="D37" s="28" t="str">
        <x:v>NO-GO</x:v>
      </x:c>
      <x:c r="E37" s="7" t="str">
        <x:v>Remove</x:v>
      </x:c>
      <x:c r="F37" s="26" t="n">
        <x:v>2</x:v>
      </x:c>
      <x:c r="G37" s="26" t="n">
        <x:v>0</x:v>
      </x:c>
      <x:c r="H37" s="26" t="n">
        <x:v>0</x:v>
      </x:c>
      <x:c r="I37" s="26" t="n">
        <x:v>0</x:v>
      </x:c>
      <x:c r="J37" s="26" t="n">
        <x:v>0</x:v>
      </x:c>
      <x:c r="K37" s="26" t="n">
        <x:v>0</x:v>
      </x:c>
      <x:c r="L37" s="26" t="n">
        <x:v>0</x:v>
      </x:c>
      <x:c r="M37" s="26" t="n">
        <x:v>0</x:v>
      </x:c>
      <x:c r="N37" s="7" t="str">
        <x:v>DORMANT</x:v>
      </x:c>
      <x:c r="O37" s="7" t="str">
        <x:v>No stock, Rx or breakage demand in 12 months</x:v>
      </x:c>
    </x:row>
    <x:row r="38" ht="20" customHeight="1">
      <x:c r="A38" s="7" t="n">
        <x:v>32</x:v>
      </x:c>
      <x:c r="B38" s="27" t="str">
        <x:f>"0027035237"</x:f>
        <x:v>0027035237</x:v>
      </x:c>
      <x:c r="C38" s="7" t="str">
        <x:v>75S 200</x:v>
      </x:c>
      <x:c r="D38" s="28" t="str">
        <x:v>NO-GO</x:v>
      </x:c>
      <x:c r="E38" s="7" t="str">
        <x:v>Remove</x:v>
      </x:c>
      <x:c r="F38" s="26" t="n">
        <x:v>1</x:v>
      </x:c>
      <x:c r="G38" s="26" t="n">
        <x:v>0</x:v>
      </x:c>
      <x:c r="H38" s="26" t="n">
        <x:v>3</x:v>
      </x:c>
      <x:c r="I38" s="26" t="n">
        <x:v>2</x:v>
      </x:c>
      <x:c r="J38" s="26" t="n">
        <x:v>0</x:v>
      </x:c>
      <x:c r="K38" s="26" t="n">
        <x:v>0</x:v>
      </x:c>
      <x:c r="L38" s="26" t="n">
        <x:v>2</x:v>
      </x:c>
      <x:c r="M38" s="26" t="n">
        <x:v>0</x:v>
      </x:c>
      <x:c r="N38" s="7" t="str">
        <x:v>COVERED</x:v>
      </x:c>
      <x:c r="O38" s="7" t="str">
        <x:v>3 on hand covers 3-lens target</x:v>
      </x:c>
    </x:row>
    <x:row r="39" ht="20" customHeight="1">
      <x:c r="A39" s="7" t="n">
        <x:v>33</x:v>
      </x:c>
      <x:c r="B39" s="27" t="str">
        <x:f>"0023404155"</x:f>
        <x:v>0023404155</x:v>
      </x:c>
      <x:c r="C39" s="7" t="str">
        <x:v>70S 425</x:v>
      </x:c>
      <x:c r="D39" s="28" t="str">
        <x:v>NO-GO</x:v>
      </x:c>
      <x:c r="E39" s="7" t="str">
        <x:v>Reduce</x:v>
      </x:c>
      <x:c r="F39" s="26" t="n">
        <x:v>25</x:v>
      </x:c>
      <x:c r="G39" s="26" t="n">
        <x:v>16</x:v>
      </x:c>
      <x:c r="H39" s="26" t="n">
        <x:v>53</x:v>
      </x:c>
      <x:c r="I39" s="26" t="n">
        <x:v>179</x:v>
      </x:c>
      <x:c r="J39" s="26" t="n">
        <x:v>128</x:v>
      </x:c>
      <x:c r="K39" s="26" t="n">
        <x:v>9</x:v>
      </x:c>
      <x:c r="L39" s="26" t="n">
        <x:v>64</x:v>
      </x:c>
      <x:c r="M39" s="26" t="n">
        <x:v>0</x:v>
      </x:c>
      <x:c r="N39" s="7" t="str">
        <x:v>NEXT CYCLE</x:v>
      </x:c>
      <x:c r="O39" s="7" t="str">
        <x:v>53 on hand; 64 total demand in 90d</x:v>
      </x:c>
    </x:row>
    <x:row r="40" ht="20" customHeight="1">
      <x:c r="A40" s="7" t="n">
        <x:v>34</x:v>
      </x:c>
      <x:c r="B40" s="27" t="str">
        <x:f>"0023404338"</x:f>
        <x:v>0023404338</x:v>
      </x:c>
      <x:c r="C40" s="7" t="str">
        <x:v>80S 625</x:v>
      </x:c>
      <x:c r="D40" s="28" t="str">
        <x:v>NO-GO</x:v>
      </x:c>
      <x:c r="E40" s="7" t="str">
        <x:v>Remove</x:v>
      </x:c>
      <x:c r="F40" s="26" t="n">
        <x:v>6</x:v>
      </x:c>
      <x:c r="G40" s="26" t="n">
        <x:v>0</x:v>
      </x:c>
      <x:c r="H40" s="26" t="n">
        <x:v>12</x:v>
      </x:c>
      <x:c r="I40" s="26" t="n">
        <x:v>0</x:v>
      </x:c>
      <x:c r="J40" s="26" t="n">
        <x:v>0</x:v>
      </x:c>
      <x:c r="K40" s="26" t="n">
        <x:v>0</x:v>
      </x:c>
      <x:c r="L40" s="26" t="n">
        <x:v>0</x:v>
      </x:c>
      <x:c r="M40" s="26" t="n">
        <x:v>0</x:v>
      </x:c>
      <x:c r="N40" s="7" t="str">
        <x:v>COVERED</x:v>
      </x:c>
      <x:c r="O40" s="7" t="str">
        <x:v>12 on hand covers 0-lens target</x:v>
      </x:c>
    </x:row>
    <x:row r="41" ht="20" customHeight="1">
      <x:c r="A41" s="7" t="n">
        <x:v>35</x:v>
      </x:c>
      <x:c r="B41" s="27" t="str">
        <x:f>"0023404320"</x:f>
        <x:v>0023404320</x:v>
      </x:c>
      <x:c r="C41" s="7" t="str">
        <x:v>80S 425</x:v>
      </x:c>
      <x:c r="D41" s="28" t="str">
        <x:v>GO</x:v>
      </x:c>
      <x:c r="E41" s="7" t="str">
        <x:v>Keep draft</x:v>
      </x:c>
      <x:c r="F41" s="26" t="n">
        <x:v>2</x:v>
      </x:c>
      <x:c r="G41" s="26" t="n">
        <x:v>2</x:v>
      </x:c>
      <x:c r="H41" s="26" t="n">
        <x:v>4</x:v>
      </x:c>
      <x:c r="I41" s="26" t="n">
        <x:v>36</x:v>
      </x:c>
      <x:c r="J41" s="26" t="n">
        <x:v>4</x:v>
      </x:c>
      <x:c r="K41" s="26" t="n">
        <x:v>2</x:v>
      </x:c>
      <x:c r="L41" s="26" t="n">
        <x:v>16</x:v>
      </x:c>
      <x:c r="M41" s="26" t="n">
        <x:v>0</x:v>
      </x:c>
      <x:c r="N41" s="7" t="str">
        <x:v>ORDER NOW</x:v>
      </x:c>
      <x:c r="O41" s="7" t="str">
        <x:v>4 on hand; 16 total demand in 90d</x:v>
      </x:c>
    </x:row>
    <x:row r="42" ht="20" customHeight="1">
      <x:c r="A42" s="7" t="n">
        <x:v>36</x:v>
      </x:c>
      <x:c r="B42" s="27" t="str">
        <x:f>"0023404163"</x:f>
        <x:v>0023404163</x:v>
      </x:c>
      <x:c r="C42" s="7" t="str">
        <x:v>70S 625</x:v>
      </x:c>
      <x:c r="D42" s="28" t="str">
        <x:v>NO-GO</x:v>
      </x:c>
      <x:c r="E42" s="7" t="str">
        <x:v>Reduce</x:v>
      </x:c>
      <x:c r="F42" s="26" t="n">
        <x:v>23</x:v>
      </x:c>
      <x:c r="G42" s="26" t="n">
        <x:v>11</x:v>
      </x:c>
      <x:c r="H42" s="26" t="n">
        <x:v>26</x:v>
      </x:c>
      <x:c r="I42" s="26" t="n">
        <x:v>129</x:v>
      </x:c>
      <x:c r="J42" s="26" t="n">
        <x:v>81</x:v>
      </x:c>
      <x:c r="K42" s="26" t="n">
        <x:v>1</x:v>
      </x:c>
      <x:c r="L42" s="26" t="n">
        <x:v>31</x:v>
      </x:c>
      <x:c r="M42" s="26" t="n">
        <x:v>0</x:v>
      </x:c>
      <x:c r="N42" s="7" t="str">
        <x:v>NEXT CYCLE</x:v>
      </x:c>
      <x:c r="O42" s="7" t="str">
        <x:v>26 on hand; 31 total demand in 90d</x:v>
      </x:c>
    </x:row>
    <x:row r="43" ht="20" customHeight="1">
      <x:c r="A43" s="7" t="n">
        <x:v>37</x:v>
      </x:c>
      <x:c r="B43" s="27" t="str">
        <x:f>"0027009638"</x:f>
        <x:v>0027009638</x:v>
      </x:c>
      <x:c r="C43" s="7" t="str">
        <x:v>71S 400</x:v>
      </x:c>
      <x:c r="D43" s="28" t="str">
        <x:v>GO</x:v>
      </x:c>
      <x:c r="E43" s="7" t="str">
        <x:v>Keep draft</x:v>
      </x:c>
      <x:c r="F43" s="26" t="n">
        <x:v>4</x:v>
      </x:c>
      <x:c r="G43" s="26" t="n">
        <x:v>4</x:v>
      </x:c>
      <x:c r="H43" s="26" t="n">
        <x:v>3</x:v>
      </x:c>
      <x:c r="I43" s="26" t="n">
        <x:v>95</x:v>
      </x:c>
      <x:c r="J43" s="26" t="n">
        <x:v>0</x:v>
      </x:c>
      <x:c r="K43" s="26" t="n">
        <x:v>1</x:v>
      </x:c>
      <x:c r="L43" s="26" t="n">
        <x:v>23</x:v>
      </x:c>
      <x:c r="M43" s="26" t="n">
        <x:v>0</x:v>
      </x:c>
      <x:c r="N43" s="7" t="str">
        <x:v>ORDER NOW</x:v>
      </x:c>
      <x:c r="O43" s="7" t="str">
        <x:v>3 on hand; 23 total demand in 90d</x:v>
      </x:c>
    </x:row>
    <x:row r="44" ht="20" customHeight="1">
      <x:c r="A44" s="7" t="n">
        <x:v>38</x:v>
      </x:c>
      <x:c r="B44" s="27" t="str">
        <x:f>"0027000017"</x:f>
        <x:v>0027000017</x:v>
      </x:c>
      <x:c r="C44" s="7" t="str">
        <x:v>75S400</x:v>
      </x:c>
      <x:c r="D44" s="28" t="str">
        <x:v>NO-GO</x:v>
      </x:c>
      <x:c r="E44" s="7" t="str">
        <x:v>Reduce</x:v>
      </x:c>
      <x:c r="F44" s="26" t="n">
        <x:v>4</x:v>
      </x:c>
      <x:c r="G44" s="26" t="n">
        <x:v>1</x:v>
      </x:c>
      <x:c r="H44" s="26" t="n">
        <x:v>4</x:v>
      </x:c>
      <x:c r="I44" s="26" t="n">
        <x:v>2</x:v>
      </x:c>
      <x:c r="J44" s="26" t="n">
        <x:v>0</x:v>
      </x:c>
      <x:c r="K44" s="26" t="n">
        <x:v>0</x:v>
      </x:c>
      <x:c r="L44" s="26" t="n">
        <x:v>2</x:v>
      </x:c>
      <x:c r="M44" s="26" t="n">
        <x:v>0</x:v>
      </x:c>
      <x:c r="N44" s="7" t="str">
        <x:v>NEXT CYCLE</x:v>
      </x:c>
      <x:c r="O44" s="7" t="str">
        <x:v>4 on hand; 2 total demand in 90d</x:v>
      </x:c>
    </x:row>
    <x:row r="45" ht="20" customHeight="1">
      <x:c r="A45" s="7" t="n">
        <x:v>39</x:v>
      </x:c>
      <x:c r="B45" s="27" t="str">
        <x:f>"0027023001"</x:f>
        <x:v>0027023001</x:v>
      </x:c>
      <x:c r="C45" s="7" t="str">
        <x:v>71S 525</x:v>
      </x:c>
      <x:c r="D45" s="28" t="str">
        <x:v>GO</x:v>
      </x:c>
      <x:c r="E45" s="7" t="str">
        <x:v>Keep draft</x:v>
      </x:c>
      <x:c r="F45" s="26" t="n">
        <x:v>4</x:v>
      </x:c>
      <x:c r="G45" s="26" t="n">
        <x:v>4</x:v>
      </x:c>
      <x:c r="H45" s="26" t="n">
        <x:v>4</x:v>
      </x:c>
      <x:c r="I45" s="26" t="n">
        <x:v>56</x:v>
      </x:c>
      <x:c r="J45" s="26" t="n">
        <x:v>0</x:v>
      </x:c>
      <x:c r="K45" s="26" t="n">
        <x:v>4</x:v>
      </x:c>
      <x:c r="L45" s="26" t="n">
        <x:v>10</x:v>
      </x:c>
      <x:c r="M45" s="26" t="n">
        <x:v>0</x:v>
      </x:c>
      <x:c r="N45" s="7" t="str">
        <x:v>ORDER NOW</x:v>
      </x:c>
      <x:c r="O45" s="7" t="str">
        <x:v>4 on hand; 10 total demand in 90d</x:v>
      </x:c>
    </x:row>
    <x:row r="46" ht="20" customHeight="1">
      <x:c r="A46" s="7" t="n">
        <x:v>40</x:v>
      </x:c>
      <x:c r="B46" s="27" t="str">
        <x:f>"0023404148"</x:f>
        <x:v>0023404148</x:v>
      </x:c>
      <x:c r="C46" s="7" t="str">
        <x:v>70S 225</x:v>
      </x:c>
      <x:c r="D46" s="28" t="str">
        <x:v>GO</x:v>
      </x:c>
      <x:c r="E46" s="7" t="str">
        <x:v>Keep draft</x:v>
      </x:c>
      <x:c r="F46" s="26" t="n">
        <x:v>10</x:v>
      </x:c>
      <x:c r="G46" s="26" t="n">
        <x:v>10</x:v>
      </x:c>
      <x:c r="H46" s="26" t="n">
        <x:v>3</x:v>
      </x:c>
      <x:c r="I46" s="26" t="n">
        <x:v>57</x:v>
      </x:c>
      <x:c r="J46" s="26" t="n">
        <x:v>0</x:v>
      </x:c>
      <x:c r="K46" s="26" t="n">
        <x:v>0</x:v>
      </x:c>
      <x:c r="L46" s="26" t="n">
        <x:v>13</x:v>
      </x:c>
      <x:c r="M46" s="26" t="n">
        <x:v>0</x:v>
      </x:c>
      <x:c r="N46" s="7" t="str">
        <x:v>ORDER NOW</x:v>
      </x:c>
      <x:c r="O46" s="7" t="str">
        <x:v>3 on hand; 13 total demand in 90d</x:v>
      </x:c>
    </x:row>
    <x:row r="47" ht="20" customHeight="1">
      <x:c r="A47" s="7" t="n">
        <x:v>41</x:v>
      </x:c>
      <x:c r="B47" s="27" t="str">
        <x:f>"0027398411"</x:f>
        <x:v>0027398411</x:v>
      </x:c>
      <x:c r="C47" s="7" t="str">
        <x:v>75S 400</x:v>
      </x:c>
      <x:c r="D47" s="28" t="str">
        <x:v>NO-GO</x:v>
      </x:c>
      <x:c r="E47" s="7" t="str">
        <x:v>Reduce</x:v>
      </x:c>
      <x:c r="F47" s="26" t="n">
        <x:v>4</x:v>
      </x:c>
      <x:c r="G47" s="26" t="n">
        <x:v>1</x:v>
      </x:c>
      <x:c r="H47" s="26" t="n">
        <x:v>4</x:v>
      </x:c>
      <x:c r="I47" s="26" t="n">
        <x:v>19</x:v>
      </x:c>
      <x:c r="J47" s="26" t="n">
        <x:v>0</x:v>
      </x:c>
      <x:c r="K47" s="26" t="n">
        <x:v>1</x:v>
      </x:c>
      <x:c r="L47" s="26" t="n">
        <x:v>4</x:v>
      </x:c>
      <x:c r="M47" s="26" t="n">
        <x:v>1</x:v>
      </x:c>
      <x:c r="N47" s="7" t="str">
        <x:v>NEXT CYCLE</x:v>
      </x:c>
      <x:c r="O47" s="7" t="str">
        <x:v>4 on hand; 4 total demand in 90d</x:v>
      </x:c>
    </x:row>
  </x:sheetData>
  <x:conditionalFormatting sqref="D7:D47">
    <x:cfRule type="expression" dxfId="15" priority="1">
      <x:formula>$D7="GO"</x:formula>
    </x:cfRule>
    <x:cfRule type="expression" dxfId="16" priority="2">
      <x:formula>$D7="NO-GO"</x:formula>
    </x:cfRule>
  </x:conditionalFormatting>
  <x:conditionalFormatting sqref="E7:E47">
    <x:cfRule type="expression" dxfId="17" priority="3">
      <x:formula>$E7="Reduce"</x:formula>
    </x:cfRule>
    <x:cfRule type="expression" dxfId="18" priority="4">
      <x:formula>$E7="Remove"</x:formula>
    </x:cfRule>
  </x:conditionalFormatting>
  <x:conditionalFormatting sqref="M7:M47">
    <x:cfRule type="cellIs" dxfId="19" priority="5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f69d277cd14175"/>
  </x:tableParts>
</x:worksheet>
</file>